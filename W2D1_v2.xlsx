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Francesca Fasone\Desktop\EPICODE\PROVE PRATICHE W2\"/>
    </mc:Choice>
  </mc:AlternateContent>
  <xr:revisionPtr revIDLastSave="0" documentId="13_ncr:1_{73961C08-05CD-42AC-B54D-019F350462A6}" xr6:coauthVersionLast="47" xr6:coauthVersionMax="47" xr10:uidLastSave="{00000000-0000-0000-0000-000000000000}"/>
  <bookViews>
    <workbookView xWindow="-105" yWindow="0" windowWidth="15030" windowHeight="15585" xr2:uid="{00000000-000D-0000-FFFF-FFFF00000000}"/>
  </bookViews>
  <sheets>
    <sheet name="W2D1" sheetId="3" r:id="rId1"/>
    <sheet name="DB" sheetId="4" r:id="rId2"/>
  </sheets>
  <definedNames>
    <definedName name="CAMP">DB!$A$2:$A$82</definedName>
    <definedName name="GIORN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3" l="1"/>
  <c r="L23" i="3"/>
  <c r="L22" i="3"/>
  <c r="B4" i="3"/>
  <c r="B41" i="3"/>
  <c r="B42" i="3" s="1"/>
  <c r="E18" i="3"/>
  <c r="E19" i="3" s="1"/>
  <c r="D18" i="3"/>
  <c r="D19" i="3" s="1"/>
  <c r="C18" i="3"/>
  <c r="C19" i="3" s="1"/>
  <c r="D24" i="3" l="1"/>
  <c r="D25" i="3"/>
  <c r="C24" i="3"/>
  <c r="C25" i="3"/>
  <c r="B24" i="3"/>
  <c r="B25" i="3"/>
</calcChain>
</file>

<file path=xl/sharedStrings.xml><?xml version="1.0" encoding="utf-8"?>
<sst xmlns="http://schemas.openxmlformats.org/spreadsheetml/2006/main" count="53" uniqueCount="36">
  <si>
    <t>ESERCIZIO 1</t>
  </si>
  <si>
    <t>DATI</t>
  </si>
  <si>
    <t>Media</t>
  </si>
  <si>
    <t>Dev.Stan</t>
  </si>
  <si>
    <t>D_campione</t>
  </si>
  <si>
    <t>Confidenza richiesta</t>
  </si>
  <si>
    <t>la stima puntuale è la media del campione, quindi uguale a 52</t>
  </si>
  <si>
    <t>calcoliamo adesso il limite inferiore e superiore per identificare gli estremi dell'intervallo di confidenza</t>
  </si>
  <si>
    <t>ESERCIZIO 5</t>
  </si>
  <si>
    <t>ESERCIZIO 2/ESERCIZIO 3/ESERCIZIO 4</t>
  </si>
  <si>
    <t>DATI CASO1</t>
  </si>
  <si>
    <t>DATI CASO2</t>
  </si>
  <si>
    <t>DATI CASO3</t>
  </si>
  <si>
    <r>
      <t xml:space="preserve">è necessario calcolare </t>
    </r>
    <r>
      <rPr>
        <b/>
        <sz val="11"/>
        <color theme="1"/>
        <rFont val="Calibri"/>
        <family val="2"/>
        <scheme val="minor"/>
      </rPr>
      <t xml:space="preserve">alpha </t>
    </r>
  </si>
  <si>
    <t>ALPHA</t>
  </si>
  <si>
    <r>
      <t xml:space="preserve">per poter calcolare il margine di errore alla confidenza richiesta, la cui formula in excel è </t>
    </r>
    <r>
      <rPr>
        <b/>
        <sz val="11"/>
        <color theme="1"/>
        <rFont val="Calibri"/>
        <family val="2"/>
        <scheme val="minor"/>
      </rPr>
      <t>confidenza.norm(alpha; dev.stand.; dim.campione)</t>
    </r>
  </si>
  <si>
    <t>MARGINE</t>
  </si>
  <si>
    <t>CASO1</t>
  </si>
  <si>
    <t>CASO 2</t>
  </si>
  <si>
    <t>CASO 3</t>
  </si>
  <si>
    <t>LIMITE INF</t>
  </si>
  <si>
    <t>LIMITE SUP</t>
  </si>
  <si>
    <t>MEDIA CAMPIONE</t>
  </si>
  <si>
    <t>CAMPIONE</t>
  </si>
  <si>
    <t xml:space="preserve"> </t>
  </si>
  <si>
    <t>CASO1: Sulla base del campione osservato, stimiamo con un livello di confidenza del 95% che la media della popolazione sia compresa tra 50,04 e 53,96</t>
  </si>
  <si>
    <t>CASO2: Sulla base del campione osservato, stimiamo con un livello di confidenza del 90% che la media della popolazione sia compresa tra 50,36 e 53,64</t>
  </si>
  <si>
    <t>CASO3: Sulla base del campione osservato, stimiamo con un livello di confidenza del 99% che la media della popolazione sia compresa tra 49,42 e 54,64</t>
  </si>
  <si>
    <t>per calcolare il margine di errore, calcolo alpha</t>
  </si>
  <si>
    <t xml:space="preserve">analizzando questi tre casi in cui i livelli di confidenza sono rispettivamente 90%, 95% e 99%, è possibile notare che la distanza tra gli estremi dell'intervallo di confidenza aumenta </t>
  </si>
  <si>
    <t>poiché aumentando il livello di confidenza, l'intervallo risulta più ampio quindi più prudente ma meno preciso</t>
  </si>
  <si>
    <t>LIV CONF</t>
  </si>
  <si>
    <t>DISTANZA ESTREMI</t>
  </si>
  <si>
    <t>Per questo motivo la stima diventa più precisa: il margine di errore diminuisce e l'intervallo di confidenza diventa più stretto</t>
  </si>
  <si>
    <t xml:space="preserve">Aumentando la dimensione del campione, raccogliamo più informazioni sulla popolazione. </t>
  </si>
  <si>
    <t>Di conseguenza, la media campionaria tende ad avvicinarsi alla vera media della popolazione (che è un valore sconosciuto).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</si>
</sst>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43" fontId="0" fillId="0" borderId="1" xfId="1" applyFont="1" applyBorder="1"/>
    <xf numFmtId="2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Fill="1"/>
    <xf numFmtId="0" fontId="1" fillId="0" borderId="0" xfId="0" applyFont="1" applyFill="1"/>
    <xf numFmtId="1" fontId="0" fillId="0" borderId="1" xfId="0" applyNumberFormat="1" applyFill="1" applyBorder="1"/>
    <xf numFmtId="9" fontId="0" fillId="0" borderId="1" xfId="2" applyFont="1" applyBorder="1"/>
  </cellXfs>
  <cellStyles count="3">
    <cellStyle name="Migliaia" xfId="1" builtinId="3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6361-950B-4A53-B542-3DA79E730D48}">
  <dimension ref="A1:L46"/>
  <sheetViews>
    <sheetView tabSelected="1" topLeftCell="A23" workbookViewId="0">
      <selection activeCell="B38" sqref="B38"/>
    </sheetView>
  </sheetViews>
  <sheetFormatPr defaultRowHeight="15" x14ac:dyDescent="0.25"/>
  <cols>
    <col min="1" max="1" width="20.85546875" customWidth="1"/>
    <col min="4" max="4" width="19.28515625" bestFit="1" customWidth="1"/>
    <col min="7" max="7" width="19.5703125" customWidth="1"/>
  </cols>
  <sheetData>
    <row r="1" spans="1:8" s="10" customFormat="1" x14ac:dyDescent="0.25">
      <c r="A1" s="11" t="s">
        <v>0</v>
      </c>
    </row>
    <row r="2" spans="1:8" s="10" customFormat="1" x14ac:dyDescent="0.25">
      <c r="A2" s="10" t="s">
        <v>6</v>
      </c>
    </row>
    <row r="3" spans="1:8" x14ac:dyDescent="0.25">
      <c r="A3" s="10"/>
      <c r="B3" s="10"/>
      <c r="C3" s="10"/>
      <c r="D3" s="10"/>
      <c r="E3" s="10"/>
      <c r="F3" s="10"/>
    </row>
    <row r="4" spans="1:8" x14ac:dyDescent="0.25">
      <c r="A4" s="5" t="s">
        <v>22</v>
      </c>
      <c r="B4" s="12">
        <f>AVERAGE(CAMP)</f>
        <v>51.851851851851855</v>
      </c>
      <c r="C4" s="10"/>
      <c r="D4" s="10"/>
      <c r="E4" s="10"/>
      <c r="F4" s="10"/>
      <c r="G4" t="s">
        <v>24</v>
      </c>
    </row>
    <row r="5" spans="1:8" x14ac:dyDescent="0.25">
      <c r="A5" s="10"/>
      <c r="B5" s="10"/>
      <c r="C5" s="10"/>
      <c r="D5" s="10"/>
      <c r="E5" s="10"/>
      <c r="F5" s="10"/>
    </row>
    <row r="6" spans="1:8" x14ac:dyDescent="0.25">
      <c r="A6" s="10"/>
      <c r="B6" s="10"/>
      <c r="C6" s="10"/>
      <c r="D6" s="10"/>
      <c r="E6" s="10"/>
      <c r="F6" s="10"/>
    </row>
    <row r="7" spans="1:8" x14ac:dyDescent="0.25">
      <c r="A7" s="1" t="s">
        <v>9</v>
      </c>
    </row>
    <row r="8" spans="1:8" x14ac:dyDescent="0.25">
      <c r="A8" s="1" t="s">
        <v>10</v>
      </c>
      <c r="D8" s="1" t="s">
        <v>11</v>
      </c>
      <c r="G8" s="1" t="s">
        <v>12</v>
      </c>
    </row>
    <row r="9" spans="1:8" x14ac:dyDescent="0.25">
      <c r="A9" s="5" t="s">
        <v>2</v>
      </c>
      <c r="B9" s="3">
        <v>52</v>
      </c>
      <c r="D9" s="5" t="s">
        <v>2</v>
      </c>
      <c r="E9" s="3">
        <v>52</v>
      </c>
      <c r="G9" s="5" t="s">
        <v>2</v>
      </c>
      <c r="H9" s="3">
        <v>52</v>
      </c>
    </row>
    <row r="10" spans="1:8" x14ac:dyDescent="0.25">
      <c r="A10" s="5" t="s">
        <v>3</v>
      </c>
      <c r="B10" s="3">
        <v>9</v>
      </c>
      <c r="D10" s="5" t="s">
        <v>3</v>
      </c>
      <c r="E10" s="3">
        <v>9</v>
      </c>
      <c r="G10" s="5" t="s">
        <v>3</v>
      </c>
      <c r="H10" s="3">
        <v>9</v>
      </c>
    </row>
    <row r="11" spans="1:8" x14ac:dyDescent="0.25">
      <c r="A11" s="5" t="s">
        <v>4</v>
      </c>
      <c r="B11" s="3">
        <v>81</v>
      </c>
      <c r="D11" s="5" t="s">
        <v>4</v>
      </c>
      <c r="E11" s="3">
        <v>81</v>
      </c>
      <c r="G11" s="5" t="s">
        <v>4</v>
      </c>
      <c r="H11" s="3">
        <v>81</v>
      </c>
    </row>
    <row r="12" spans="1:8" x14ac:dyDescent="0.25">
      <c r="A12" s="5" t="s">
        <v>5</v>
      </c>
      <c r="B12" s="4">
        <v>0.95</v>
      </c>
      <c r="D12" s="5" t="s">
        <v>5</v>
      </c>
      <c r="E12" s="4">
        <v>0.9</v>
      </c>
      <c r="G12" s="5" t="s">
        <v>5</v>
      </c>
      <c r="H12" s="4">
        <v>0.99</v>
      </c>
    </row>
    <row r="15" spans="1:8" x14ac:dyDescent="0.25">
      <c r="A15" t="s">
        <v>15</v>
      </c>
    </row>
    <row r="16" spans="1:8" x14ac:dyDescent="0.25">
      <c r="A16" t="s">
        <v>13</v>
      </c>
    </row>
    <row r="17" spans="1:12" x14ac:dyDescent="0.25">
      <c r="C17" s="8" t="s">
        <v>17</v>
      </c>
      <c r="D17" s="8" t="s">
        <v>18</v>
      </c>
      <c r="E17" s="8" t="s">
        <v>19</v>
      </c>
    </row>
    <row r="18" spans="1:12" x14ac:dyDescent="0.25">
      <c r="B18" s="5" t="s">
        <v>14</v>
      </c>
      <c r="C18" s="13">
        <f>1-B12</f>
        <v>5.0000000000000044E-2</v>
      </c>
      <c r="D18" s="13">
        <f>1-E12</f>
        <v>9.9999999999999978E-2</v>
      </c>
      <c r="E18" s="13">
        <f>1-H12</f>
        <v>1.0000000000000009E-2</v>
      </c>
    </row>
    <row r="19" spans="1:12" x14ac:dyDescent="0.25">
      <c r="B19" s="5" t="s">
        <v>16</v>
      </c>
      <c r="C19" s="7">
        <f>_xlfn.CONFIDENCE.NORM($C$18,$B$10,$B$11)</f>
        <v>1.9599639845400536</v>
      </c>
      <c r="D19" s="7">
        <f>_xlfn.CONFIDENCE.NORM(D18,$B$10,$B$11)</f>
        <v>1.6448536269514715</v>
      </c>
      <c r="E19" s="7">
        <f>_xlfn.CONFIDENCE.NORM(E18,$B$10,$B$11)</f>
        <v>2.5758293035488999</v>
      </c>
    </row>
    <row r="21" spans="1:12" x14ac:dyDescent="0.25">
      <c r="A21" t="s">
        <v>7</v>
      </c>
      <c r="K21" t="s">
        <v>31</v>
      </c>
      <c r="L21" t="s">
        <v>32</v>
      </c>
    </row>
    <row r="22" spans="1:12" x14ac:dyDescent="0.25">
      <c r="K22">
        <v>90</v>
      </c>
      <c r="L22">
        <f>53.64-50.36</f>
        <v>3.2800000000000011</v>
      </c>
    </row>
    <row r="23" spans="1:12" x14ac:dyDescent="0.25">
      <c r="B23" s="9" t="s">
        <v>17</v>
      </c>
      <c r="C23" s="9" t="s">
        <v>18</v>
      </c>
      <c r="D23" s="9" t="s">
        <v>19</v>
      </c>
      <c r="K23">
        <v>95</v>
      </c>
      <c r="L23">
        <f>53.96-50.04</f>
        <v>3.9200000000000017</v>
      </c>
    </row>
    <row r="24" spans="1:12" x14ac:dyDescent="0.25">
      <c r="A24" s="3" t="s">
        <v>20</v>
      </c>
      <c r="B24" s="7">
        <f>$B$9-C$19</f>
        <v>50.040036015459947</v>
      </c>
      <c r="C24" s="7">
        <f>$B$9-D$19</f>
        <v>50.355146373048527</v>
      </c>
      <c r="D24" s="7">
        <f>$B$9-E$19</f>
        <v>49.4241706964511</v>
      </c>
      <c r="K24">
        <v>99</v>
      </c>
      <c r="L24">
        <f>54.64-49.42</f>
        <v>5.2199999999999989</v>
      </c>
    </row>
    <row r="25" spans="1:12" x14ac:dyDescent="0.25">
      <c r="A25" s="3" t="s">
        <v>21</v>
      </c>
      <c r="B25" s="7">
        <f>$B$9+C$19</f>
        <v>53.959963984540053</v>
      </c>
      <c r="C25" s="7">
        <f>$B$9+D$19</f>
        <v>53.644853626951473</v>
      </c>
      <c r="D25" s="7">
        <f>$B$9+E$19</f>
        <v>54.5758293035489</v>
      </c>
    </row>
    <row r="26" spans="1:12" x14ac:dyDescent="0.25">
      <c r="B26" s="2"/>
    </row>
    <row r="27" spans="1:12" x14ac:dyDescent="0.25">
      <c r="A27" t="s">
        <v>25</v>
      </c>
    </row>
    <row r="28" spans="1:12" x14ac:dyDescent="0.25">
      <c r="A28" t="s">
        <v>26</v>
      </c>
    </row>
    <row r="29" spans="1:12" x14ac:dyDescent="0.25">
      <c r="A29" t="s">
        <v>27</v>
      </c>
    </row>
    <row r="30" spans="1:12" x14ac:dyDescent="0.25">
      <c r="A30" t="s">
        <v>29</v>
      </c>
    </row>
    <row r="31" spans="1:12" x14ac:dyDescent="0.25">
      <c r="A31" t="s">
        <v>30</v>
      </c>
    </row>
    <row r="33" spans="1:2" x14ac:dyDescent="0.25">
      <c r="A33" s="1" t="s">
        <v>8</v>
      </c>
    </row>
    <row r="34" spans="1:2" x14ac:dyDescent="0.25">
      <c r="A34" s="1" t="s">
        <v>1</v>
      </c>
    </row>
    <row r="35" spans="1:2" x14ac:dyDescent="0.25">
      <c r="A35" s="5" t="s">
        <v>2</v>
      </c>
      <c r="B35" s="3">
        <v>52</v>
      </c>
    </row>
    <row r="36" spans="1:2" x14ac:dyDescent="0.25">
      <c r="A36" s="5" t="s">
        <v>3</v>
      </c>
      <c r="B36" s="3">
        <v>9</v>
      </c>
    </row>
    <row r="37" spans="1:2" x14ac:dyDescent="0.25">
      <c r="A37" s="5" t="s">
        <v>4</v>
      </c>
      <c r="B37" s="3">
        <v>324</v>
      </c>
    </row>
    <row r="38" spans="1:2" x14ac:dyDescent="0.25">
      <c r="A38" s="5" t="s">
        <v>5</v>
      </c>
      <c r="B38" s="4">
        <v>0.95</v>
      </c>
    </row>
    <row r="40" spans="1:2" x14ac:dyDescent="0.25">
      <c r="A40" t="s">
        <v>28</v>
      </c>
    </row>
    <row r="41" spans="1:2" x14ac:dyDescent="0.25">
      <c r="A41" s="5" t="s">
        <v>14</v>
      </c>
      <c r="B41" s="6">
        <f>1-B38</f>
        <v>5.0000000000000044E-2</v>
      </c>
    </row>
    <row r="42" spans="1:2" x14ac:dyDescent="0.25">
      <c r="A42" s="5" t="s">
        <v>16</v>
      </c>
      <c r="B42" s="7">
        <f>_xlfn.CONFIDENCE.NORM(B41,B36,B37)</f>
        <v>0.9799819922700268</v>
      </c>
    </row>
    <row r="44" spans="1:2" x14ac:dyDescent="0.25">
      <c r="A44" t="s">
        <v>34</v>
      </c>
    </row>
    <row r="45" spans="1:2" x14ac:dyDescent="0.25">
      <c r="A45" t="s">
        <v>35</v>
      </c>
    </row>
    <row r="46" spans="1:2" x14ac:dyDescent="0.25">
      <c r="A46" t="s">
        <v>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4BE4E-51AF-4DB8-9A47-D88A8C671AD8}">
  <dimension ref="A1:A82"/>
  <sheetViews>
    <sheetView workbookViewId="0">
      <selection activeCell="A2" sqref="A2:A82"/>
    </sheetView>
  </sheetViews>
  <sheetFormatPr defaultRowHeight="15" x14ac:dyDescent="0.25"/>
  <sheetData>
    <row r="1" spans="1:1" x14ac:dyDescent="0.25">
      <c r="A1" t="s">
        <v>23</v>
      </c>
    </row>
    <row r="2" spans="1:1" x14ac:dyDescent="0.25">
      <c r="A2">
        <v>55</v>
      </c>
    </row>
    <row r="3" spans="1:1" x14ac:dyDescent="0.25">
      <c r="A3">
        <v>49</v>
      </c>
    </row>
    <row r="4" spans="1:1" x14ac:dyDescent="0.25">
      <c r="A4">
        <v>62</v>
      </c>
    </row>
    <row r="5" spans="1:1" x14ac:dyDescent="0.25">
      <c r="A5">
        <v>42</v>
      </c>
    </row>
    <row r="6" spans="1:1" x14ac:dyDescent="0.25">
      <c r="A6">
        <v>53</v>
      </c>
    </row>
    <row r="7" spans="1:1" x14ac:dyDescent="0.25">
      <c r="A7">
        <v>61</v>
      </c>
    </row>
    <row r="8" spans="1:1" x14ac:dyDescent="0.25">
      <c r="A8">
        <v>37</v>
      </c>
    </row>
    <row r="9" spans="1:1" x14ac:dyDescent="0.25">
      <c r="A9">
        <v>57</v>
      </c>
    </row>
    <row r="10" spans="1:1" x14ac:dyDescent="0.25">
      <c r="A10">
        <v>38</v>
      </c>
    </row>
    <row r="11" spans="1:1" x14ac:dyDescent="0.25">
      <c r="A11">
        <v>42</v>
      </c>
    </row>
    <row r="12" spans="1:1" x14ac:dyDescent="0.25">
      <c r="A12">
        <v>62</v>
      </c>
    </row>
    <row r="13" spans="1:1" x14ac:dyDescent="0.25">
      <c r="A13">
        <v>54</v>
      </c>
    </row>
    <row r="14" spans="1:1" x14ac:dyDescent="0.25">
      <c r="A14">
        <v>63</v>
      </c>
    </row>
    <row r="15" spans="1:1" x14ac:dyDescent="0.25">
      <c r="A15">
        <v>43</v>
      </c>
    </row>
    <row r="16" spans="1:1" x14ac:dyDescent="0.25">
      <c r="A16">
        <v>59</v>
      </c>
    </row>
    <row r="17" spans="1:1" x14ac:dyDescent="0.25">
      <c r="A17">
        <v>51</v>
      </c>
    </row>
    <row r="18" spans="1:1" x14ac:dyDescent="0.25">
      <c r="A18">
        <v>61</v>
      </c>
    </row>
    <row r="19" spans="1:1" x14ac:dyDescent="0.25">
      <c r="A19">
        <v>43</v>
      </c>
    </row>
    <row r="20" spans="1:1" x14ac:dyDescent="0.25">
      <c r="A20">
        <v>55</v>
      </c>
    </row>
    <row r="21" spans="1:1" x14ac:dyDescent="0.25">
      <c r="A21">
        <v>58</v>
      </c>
    </row>
    <row r="22" spans="1:1" x14ac:dyDescent="0.25">
      <c r="A22">
        <v>66</v>
      </c>
    </row>
    <row r="23" spans="1:1" x14ac:dyDescent="0.25">
      <c r="A23">
        <v>39</v>
      </c>
    </row>
    <row r="24" spans="1:1" x14ac:dyDescent="0.25">
      <c r="A24">
        <v>45</v>
      </c>
    </row>
    <row r="25" spans="1:1" x14ac:dyDescent="0.25">
      <c r="A25">
        <v>54</v>
      </c>
    </row>
    <row r="26" spans="1:1" x14ac:dyDescent="0.25">
      <c r="A26">
        <v>64</v>
      </c>
    </row>
    <row r="27" spans="1:1" x14ac:dyDescent="0.25">
      <c r="A27">
        <v>50</v>
      </c>
    </row>
    <row r="28" spans="1:1" x14ac:dyDescent="0.25">
      <c r="A28">
        <v>62</v>
      </c>
    </row>
    <row r="29" spans="1:1" x14ac:dyDescent="0.25">
      <c r="A29">
        <v>40</v>
      </c>
    </row>
    <row r="30" spans="1:1" x14ac:dyDescent="0.25">
      <c r="A30">
        <v>52</v>
      </c>
    </row>
    <row r="31" spans="1:1" x14ac:dyDescent="0.25">
      <c r="A31">
        <v>43</v>
      </c>
    </row>
    <row r="32" spans="1:1" x14ac:dyDescent="0.25">
      <c r="A32">
        <v>55</v>
      </c>
    </row>
    <row r="33" spans="1:1" x14ac:dyDescent="0.25">
      <c r="A33">
        <v>50</v>
      </c>
    </row>
    <row r="34" spans="1:1" x14ac:dyDescent="0.25">
      <c r="A34">
        <v>57</v>
      </c>
    </row>
    <row r="35" spans="1:1" x14ac:dyDescent="0.25">
      <c r="A35">
        <v>47</v>
      </c>
    </row>
    <row r="36" spans="1:1" x14ac:dyDescent="0.25">
      <c r="A36">
        <v>50</v>
      </c>
    </row>
    <row r="37" spans="1:1" x14ac:dyDescent="0.25">
      <c r="A37">
        <v>49</v>
      </c>
    </row>
    <row r="38" spans="1:1" x14ac:dyDescent="0.25">
      <c r="A38">
        <v>55</v>
      </c>
    </row>
    <row r="39" spans="1:1" x14ac:dyDescent="0.25">
      <c r="A39">
        <v>48</v>
      </c>
    </row>
    <row r="40" spans="1:1" x14ac:dyDescent="0.25">
      <c r="A40">
        <v>49</v>
      </c>
    </row>
    <row r="41" spans="1:1" x14ac:dyDescent="0.25">
      <c r="A41">
        <v>61</v>
      </c>
    </row>
    <row r="42" spans="1:1" x14ac:dyDescent="0.25">
      <c r="A42">
        <v>52</v>
      </c>
    </row>
    <row r="43" spans="1:1" x14ac:dyDescent="0.25">
      <c r="A43">
        <v>45</v>
      </c>
    </row>
    <row r="44" spans="1:1" x14ac:dyDescent="0.25">
      <c r="A44">
        <v>42</v>
      </c>
    </row>
    <row r="45" spans="1:1" x14ac:dyDescent="0.25">
      <c r="A45">
        <v>62</v>
      </c>
    </row>
    <row r="46" spans="1:1" x14ac:dyDescent="0.25">
      <c r="A46">
        <v>42</v>
      </c>
    </row>
    <row r="47" spans="1:1" x14ac:dyDescent="0.25">
      <c r="A47">
        <v>41</v>
      </c>
    </row>
    <row r="48" spans="1:1" x14ac:dyDescent="0.25">
      <c r="A48">
        <v>67</v>
      </c>
    </row>
    <row r="49" spans="1:1" x14ac:dyDescent="0.25">
      <c r="A49">
        <v>37</v>
      </c>
    </row>
    <row r="50" spans="1:1" x14ac:dyDescent="0.25">
      <c r="A50">
        <v>47</v>
      </c>
    </row>
    <row r="51" spans="1:1" x14ac:dyDescent="0.25">
      <c r="A51">
        <v>66</v>
      </c>
    </row>
    <row r="52" spans="1:1" x14ac:dyDescent="0.25">
      <c r="A52">
        <v>50</v>
      </c>
    </row>
    <row r="53" spans="1:1" x14ac:dyDescent="0.25">
      <c r="A53">
        <v>54</v>
      </c>
    </row>
    <row r="54" spans="1:1" x14ac:dyDescent="0.25">
      <c r="A54">
        <v>47</v>
      </c>
    </row>
    <row r="55" spans="1:1" x14ac:dyDescent="0.25">
      <c r="A55">
        <v>50</v>
      </c>
    </row>
    <row r="56" spans="1:1" x14ac:dyDescent="0.25">
      <c r="A56">
        <v>42</v>
      </c>
    </row>
    <row r="57" spans="1:1" x14ac:dyDescent="0.25">
      <c r="A57">
        <v>57</v>
      </c>
    </row>
    <row r="58" spans="1:1" x14ac:dyDescent="0.25">
      <c r="A58">
        <v>49</v>
      </c>
    </row>
    <row r="59" spans="1:1" x14ac:dyDescent="0.25">
      <c r="A59">
        <v>62</v>
      </c>
    </row>
    <row r="60" spans="1:1" x14ac:dyDescent="0.25">
      <c r="A60">
        <v>54</v>
      </c>
    </row>
    <row r="61" spans="1:1" x14ac:dyDescent="0.25">
      <c r="A61">
        <v>64</v>
      </c>
    </row>
    <row r="62" spans="1:1" x14ac:dyDescent="0.25">
      <c r="A62">
        <v>41</v>
      </c>
    </row>
    <row r="63" spans="1:1" x14ac:dyDescent="0.25">
      <c r="A63">
        <v>65</v>
      </c>
    </row>
    <row r="64" spans="1:1" x14ac:dyDescent="0.25">
      <c r="A64">
        <v>39</v>
      </c>
    </row>
    <row r="65" spans="1:1" x14ac:dyDescent="0.25">
      <c r="A65">
        <v>50</v>
      </c>
    </row>
    <row r="66" spans="1:1" x14ac:dyDescent="0.25">
      <c r="A66">
        <v>67</v>
      </c>
    </row>
    <row r="67" spans="1:1" x14ac:dyDescent="0.25">
      <c r="A67">
        <v>42</v>
      </c>
    </row>
    <row r="68" spans="1:1" x14ac:dyDescent="0.25">
      <c r="A68">
        <v>54</v>
      </c>
    </row>
    <row r="69" spans="1:1" x14ac:dyDescent="0.25">
      <c r="A69">
        <v>49</v>
      </c>
    </row>
    <row r="70" spans="1:1" x14ac:dyDescent="0.25">
      <c r="A70">
        <v>54</v>
      </c>
    </row>
    <row r="71" spans="1:1" x14ac:dyDescent="0.25">
      <c r="A71">
        <v>49</v>
      </c>
    </row>
    <row r="72" spans="1:1" x14ac:dyDescent="0.25">
      <c r="A72">
        <v>52</v>
      </c>
    </row>
    <row r="73" spans="1:1" x14ac:dyDescent="0.25">
      <c r="A73">
        <v>55</v>
      </c>
    </row>
    <row r="74" spans="1:1" x14ac:dyDescent="0.25">
      <c r="A74">
        <v>49</v>
      </c>
    </row>
    <row r="75" spans="1:1" x14ac:dyDescent="0.25">
      <c r="A75">
        <v>63</v>
      </c>
    </row>
    <row r="76" spans="1:1" x14ac:dyDescent="0.25">
      <c r="A76">
        <v>48</v>
      </c>
    </row>
    <row r="77" spans="1:1" x14ac:dyDescent="0.25">
      <c r="A77">
        <v>49</v>
      </c>
    </row>
    <row r="78" spans="1:1" x14ac:dyDescent="0.25">
      <c r="A78">
        <v>55</v>
      </c>
    </row>
    <row r="79" spans="1:1" x14ac:dyDescent="0.25">
      <c r="A79">
        <v>67</v>
      </c>
    </row>
    <row r="80" spans="1:1" x14ac:dyDescent="0.25">
      <c r="A80">
        <v>37</v>
      </c>
    </row>
    <row r="81" spans="1:1" x14ac:dyDescent="0.25">
      <c r="A81">
        <v>45</v>
      </c>
    </row>
    <row r="82" spans="1:1" x14ac:dyDescent="0.25">
      <c r="A82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W2D1</vt:lpstr>
      <vt:lpstr>DB</vt:lpstr>
      <vt:lpstr>CAMP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Fasone Francesca Maria</dc:creator>
  <cp:lastModifiedBy>Francesca Maria Fasone</cp:lastModifiedBy>
  <dcterms:created xsi:type="dcterms:W3CDTF">2015-06-05T18:19:34Z</dcterms:created>
  <dcterms:modified xsi:type="dcterms:W3CDTF">2026-07-10T18:44:13Z</dcterms:modified>
</cp:coreProperties>
</file>