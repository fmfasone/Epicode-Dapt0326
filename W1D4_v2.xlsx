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-Dapt0326\"/>
    </mc:Choice>
  </mc:AlternateContent>
  <xr:revisionPtr revIDLastSave="0" documentId="8_{C9B35CB1-0B5E-4DB7-B61E-CB015085B675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E32" i="1"/>
  <c r="C61" i="1"/>
  <c r="C50" i="1"/>
  <c r="F40" i="1"/>
  <c r="E40" i="1"/>
  <c r="G23" i="1"/>
  <c r="H5" i="1"/>
  <c r="G5" i="1"/>
  <c r="C13" i="1" s="1"/>
  <c r="F5" i="1"/>
  <c r="G61" i="1" l="1"/>
  <c r="F61" i="1"/>
  <c r="F62" i="1" s="1"/>
  <c r="F52" i="1"/>
  <c r="G52" i="1"/>
  <c r="C12" i="1"/>
</calcChain>
</file>

<file path=xl/sharedStrings.xml><?xml version="1.0" encoding="utf-8"?>
<sst xmlns="http://schemas.openxmlformats.org/spreadsheetml/2006/main" count="57" uniqueCount="51">
  <si>
    <t>ESERCIZIO 1</t>
  </si>
  <si>
    <t>calcola la probabilità di un numero pari e quella di un numero maggiore di 4</t>
  </si>
  <si>
    <t>ESERCIZIO 2</t>
  </si>
  <si>
    <t>nella normale con media 50 e dev. Stand. 8, stima la quota dati tra 42 e 58</t>
  </si>
  <si>
    <t>58 è di una deviazione media standard in più sopra la media</t>
  </si>
  <si>
    <t>42 è una deviazione standard sotto la media che è 50</t>
  </si>
  <si>
    <t>ESERCIZIO 3</t>
  </si>
  <si>
    <t>calcola lo z-score del valore 66 con media 50 e dev.stand 8</t>
  </si>
  <si>
    <t>la formula per calcolare lo z-score è z-score=(valore-media)/dev.stand</t>
  </si>
  <si>
    <t>quindi, il valore 66 è 2 deviazioni standard in più rispetto alla media</t>
  </si>
  <si>
    <t>ESERCIZIO 4</t>
  </si>
  <si>
    <t>estrando una carta da un mazzo da 40, qual è la probabilità che sia una figura?</t>
  </si>
  <si>
    <t>ESERCIZIO 5</t>
  </si>
  <si>
    <t>due lanci indipendenti: probabilità di due numeri pari? E di almeno un 6?</t>
  </si>
  <si>
    <t>per il primo caso:</t>
  </si>
  <si>
    <t>per il secondo caso:</t>
  </si>
  <si>
    <t>PARI</t>
  </si>
  <si>
    <t>&gt;4</t>
  </si>
  <si>
    <t>CASI FAVOREVOLI
NR. PARI</t>
  </si>
  <si>
    <t>FACCE DADO</t>
  </si>
  <si>
    <t>CASI POSSIBILI</t>
  </si>
  <si>
    <t>P(A)</t>
  </si>
  <si>
    <t>P(B)</t>
  </si>
  <si>
    <t>PROBABILITA' NR PARI</t>
  </si>
  <si>
    <t>CASI FAVOREVOLI
&gt;4</t>
  </si>
  <si>
    <t>PROBABILITA' &gt;4</t>
  </si>
  <si>
    <t>INTERSEZIONE</t>
  </si>
  <si>
    <t>P(A∩B)</t>
  </si>
  <si>
    <t>EVENTO COMPATIBILE</t>
  </si>
  <si>
    <t>P( AUB)</t>
  </si>
  <si>
    <t>CALCOLATO CON LA FORMULA:  P( A U B)=P(A) + P(B) - P(A∩B)</t>
  </si>
  <si>
    <t>MEDIA</t>
  </si>
  <si>
    <t>DEV.STAND.</t>
  </si>
  <si>
    <t>LIMITE INF.</t>
  </si>
  <si>
    <t>LIMITE SUP.</t>
  </si>
  <si>
    <t>DEVO CALCOLARE DI QUANTE POSIZIONI DISTANO DAL VALORE MEDIO</t>
  </si>
  <si>
    <t>P(X&lt;=42)</t>
  </si>
  <si>
    <t>P(X&lt;=58)</t>
  </si>
  <si>
    <t>P(X&lt;=42)-P(X&lt;=58)</t>
  </si>
  <si>
    <t>DIST. NORM</t>
  </si>
  <si>
    <t>VALORE</t>
  </si>
  <si>
    <t>Z-SCORE</t>
  </si>
  <si>
    <t>NR. CARTE
(CASI POSSIBILI)</t>
  </si>
  <si>
    <t>NR. FIGURE
(CASI FAVOREVOLI)</t>
  </si>
  <si>
    <t>quindi si ha il 30% di probabilità che esca una figura</t>
  </si>
  <si>
    <t>IL CALCOLO DELLA PROBABILITA' PER DUE EVENTI DISTINTI: P(AeB)= P(A) * P(B)</t>
  </si>
  <si>
    <t>P(AeB)</t>
  </si>
  <si>
    <t>SI CONSIDERA L'EVENTO CONTRARIO</t>
  </si>
  <si>
    <t>CASI FAVOREVOLI
EVENTO CONTR.</t>
  </si>
  <si>
    <t>P(NESSUN 6)</t>
  </si>
  <si>
    <t>P(ALMENO)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</si>
</sst>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quotePrefix="1"/>
    <xf numFmtId="9" fontId="1" fillId="0" borderId="0" xfId="1" applyFont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wrapText="1"/>
    </xf>
    <xf numFmtId="12" fontId="0" fillId="0" borderId="1" xfId="0" applyNumberFormat="1" applyBorder="1"/>
    <xf numFmtId="9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13" fontId="0" fillId="0" borderId="1" xfId="0" applyNumberForma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40" workbookViewId="0">
      <selection activeCell="A70" sqref="A70:I75"/>
    </sheetView>
  </sheetViews>
  <sheetFormatPr defaultRowHeight="15" x14ac:dyDescent="0.25"/>
  <cols>
    <col min="1" max="1" width="20.28515625" customWidth="1"/>
    <col min="3" max="3" width="12.7109375" customWidth="1"/>
    <col min="5" max="5" width="12.28515625" customWidth="1"/>
    <col min="6" max="7" width="12.85546875" customWidth="1"/>
    <col min="8" max="8" width="13" customWidth="1"/>
    <col min="9" max="9" width="14.42578125" customWidth="1"/>
    <col min="11" max="11" width="12.1406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ht="45" x14ac:dyDescent="0.25">
      <c r="B4" s="7" t="s">
        <v>19</v>
      </c>
      <c r="C4" s="8" t="s">
        <v>16</v>
      </c>
      <c r="D4" s="4" t="s">
        <v>17</v>
      </c>
      <c r="F4" s="7" t="s">
        <v>18</v>
      </c>
      <c r="G4" s="7" t="s">
        <v>24</v>
      </c>
      <c r="H4" s="7" t="s">
        <v>20</v>
      </c>
    </row>
    <row r="5" spans="1:8" x14ac:dyDescent="0.25">
      <c r="B5" s="6">
        <v>1</v>
      </c>
      <c r="C5" s="9">
        <v>2</v>
      </c>
      <c r="D5" s="6">
        <v>5</v>
      </c>
      <c r="F5" s="6">
        <f>COUNT(C5:C7)</f>
        <v>3</v>
      </c>
      <c r="G5" s="6">
        <f>COUNT(D5:D7)</f>
        <v>2</v>
      </c>
      <c r="H5" s="6">
        <f>COUNT(B5:B10)</f>
        <v>6</v>
      </c>
    </row>
    <row r="6" spans="1:8" x14ac:dyDescent="0.25">
      <c r="B6" s="6">
        <v>2</v>
      </c>
      <c r="C6" s="9">
        <v>4</v>
      </c>
      <c r="D6" s="6">
        <v>6</v>
      </c>
    </row>
    <row r="7" spans="1:8" x14ac:dyDescent="0.25">
      <c r="B7" s="6">
        <v>3</v>
      </c>
      <c r="C7" s="9">
        <v>6</v>
      </c>
      <c r="D7" s="6"/>
    </row>
    <row r="8" spans="1:8" x14ac:dyDescent="0.25">
      <c r="B8" s="6">
        <v>4</v>
      </c>
    </row>
    <row r="9" spans="1:8" x14ac:dyDescent="0.25">
      <c r="B9" s="6">
        <v>5</v>
      </c>
    </row>
    <row r="10" spans="1:8" x14ac:dyDescent="0.25">
      <c r="B10" s="6">
        <v>6</v>
      </c>
    </row>
    <row r="12" spans="1:8" x14ac:dyDescent="0.25">
      <c r="A12" s="13" t="s">
        <v>23</v>
      </c>
      <c r="B12" s="14" t="s">
        <v>21</v>
      </c>
      <c r="C12" s="11">
        <f>F5/H5</f>
        <v>0.5</v>
      </c>
      <c r="D12" s="12">
        <v>0.5</v>
      </c>
    </row>
    <row r="13" spans="1:8" x14ac:dyDescent="0.25">
      <c r="A13" s="13" t="s">
        <v>25</v>
      </c>
      <c r="B13" s="14" t="s">
        <v>22</v>
      </c>
      <c r="C13" s="11">
        <f>G5/H5</f>
        <v>0.33333333333333331</v>
      </c>
      <c r="D13" s="12">
        <v>0.33333333333333331</v>
      </c>
    </row>
    <row r="14" spans="1:8" x14ac:dyDescent="0.25">
      <c r="A14" s="13" t="s">
        <v>26</v>
      </c>
      <c r="B14" s="5" t="s">
        <v>27</v>
      </c>
      <c r="C14" s="11">
        <v>0.16666666666666666</v>
      </c>
      <c r="D14" s="12">
        <v>0.16666666666666666</v>
      </c>
    </row>
    <row r="15" spans="1:8" x14ac:dyDescent="0.25">
      <c r="A15" s="13" t="s">
        <v>28</v>
      </c>
      <c r="B15" s="5" t="s">
        <v>29</v>
      </c>
      <c r="C15" s="11">
        <v>0.66666666666666663</v>
      </c>
      <c r="D15" s="12">
        <v>0.66666666666666663</v>
      </c>
      <c r="E15" t="s">
        <v>30</v>
      </c>
    </row>
    <row r="18" spans="1:9" x14ac:dyDescent="0.25">
      <c r="A18" t="s">
        <v>2</v>
      </c>
    </row>
    <row r="19" spans="1:9" x14ac:dyDescent="0.25">
      <c r="A19" t="s">
        <v>3</v>
      </c>
    </row>
    <row r="21" spans="1:9" x14ac:dyDescent="0.25">
      <c r="A21" s="13" t="s">
        <v>31</v>
      </c>
      <c r="B21" s="5">
        <v>50</v>
      </c>
      <c r="D21" t="s">
        <v>35</v>
      </c>
    </row>
    <row r="22" spans="1:9" x14ac:dyDescent="0.25">
      <c r="A22" s="13" t="s">
        <v>32</v>
      </c>
      <c r="B22" s="5">
        <v>8</v>
      </c>
      <c r="D22" t="s">
        <v>36</v>
      </c>
    </row>
    <row r="23" spans="1:9" x14ac:dyDescent="0.25">
      <c r="A23" s="13" t="s">
        <v>33</v>
      </c>
      <c r="B23" s="5">
        <v>42</v>
      </c>
      <c r="D23" t="s">
        <v>37</v>
      </c>
      <c r="F23" s="13" t="s">
        <v>39</v>
      </c>
      <c r="G23" s="12">
        <f>_xlfn.NORM.DIST(B24,B21,B22,TRUE)-_xlfn.NORM.DIST(B23,B21,B22,TRUE)</f>
        <v>0.68268949213708607</v>
      </c>
      <c r="I23" s="1" t="s">
        <v>5</v>
      </c>
    </row>
    <row r="24" spans="1:9" x14ac:dyDescent="0.25">
      <c r="A24" s="13" t="s">
        <v>34</v>
      </c>
      <c r="B24" s="5">
        <v>58</v>
      </c>
      <c r="C24" s="1"/>
      <c r="D24" t="s">
        <v>38</v>
      </c>
      <c r="I24" s="1" t="s">
        <v>4</v>
      </c>
    </row>
    <row r="25" spans="1:9" x14ac:dyDescent="0.25">
      <c r="C25" s="1"/>
    </row>
    <row r="27" spans="1:9" x14ac:dyDescent="0.25">
      <c r="A27" t="s">
        <v>6</v>
      </c>
    </row>
    <row r="28" spans="1:9" x14ac:dyDescent="0.25">
      <c r="A28" t="s">
        <v>7</v>
      </c>
    </row>
    <row r="30" spans="1:9" x14ac:dyDescent="0.25">
      <c r="A30" t="s">
        <v>8</v>
      </c>
    </row>
    <row r="32" spans="1:9" x14ac:dyDescent="0.25">
      <c r="A32" s="13" t="s">
        <v>40</v>
      </c>
      <c r="B32" s="5">
        <v>66</v>
      </c>
      <c r="D32" s="13" t="s">
        <v>41</v>
      </c>
      <c r="E32" s="5">
        <f>STANDARDIZE(B32,B33,B34)</f>
        <v>2</v>
      </c>
    </row>
    <row r="33" spans="1:6" x14ac:dyDescent="0.25">
      <c r="A33" s="13" t="s">
        <v>31</v>
      </c>
      <c r="B33" s="5">
        <v>50</v>
      </c>
    </row>
    <row r="34" spans="1:6" x14ac:dyDescent="0.25">
      <c r="A34" s="13" t="s">
        <v>32</v>
      </c>
      <c r="B34" s="5">
        <v>8</v>
      </c>
      <c r="E34" s="1" t="s">
        <v>9</v>
      </c>
    </row>
    <row r="37" spans="1:6" x14ac:dyDescent="0.25">
      <c r="A37" t="s">
        <v>10</v>
      </c>
    </row>
    <row r="38" spans="1:6" x14ac:dyDescent="0.25">
      <c r="A38" t="s">
        <v>11</v>
      </c>
    </row>
    <row r="40" spans="1:6" ht="30" x14ac:dyDescent="0.25">
      <c r="A40" s="10" t="s">
        <v>42</v>
      </c>
      <c r="B40" s="5">
        <v>40</v>
      </c>
      <c r="D40" s="13" t="s">
        <v>21</v>
      </c>
      <c r="E40" s="11">
        <f>B41/B40</f>
        <v>0.3</v>
      </c>
      <c r="F40" s="12">
        <f>B41/B40</f>
        <v>0.3</v>
      </c>
    </row>
    <row r="41" spans="1:6" ht="30" x14ac:dyDescent="0.25">
      <c r="A41" s="10" t="s">
        <v>43</v>
      </c>
      <c r="B41" s="5">
        <v>12</v>
      </c>
      <c r="E41" s="1" t="s">
        <v>44</v>
      </c>
      <c r="F41" s="1"/>
    </row>
    <row r="45" spans="1:6" x14ac:dyDescent="0.25">
      <c r="A45" t="s">
        <v>12</v>
      </c>
    </row>
    <row r="46" spans="1:6" x14ac:dyDescent="0.25">
      <c r="A46" t="s">
        <v>13</v>
      </c>
    </row>
    <row r="48" spans="1:6" x14ac:dyDescent="0.25">
      <c r="A48" t="s">
        <v>14</v>
      </c>
    </row>
    <row r="49" spans="1:11" ht="45" x14ac:dyDescent="0.25">
      <c r="B49" s="7" t="s">
        <v>19</v>
      </c>
      <c r="C49" s="7" t="s">
        <v>18</v>
      </c>
    </row>
    <row r="50" spans="1:11" x14ac:dyDescent="0.25">
      <c r="B50" s="6">
        <v>1</v>
      </c>
      <c r="C50" s="5">
        <f>COUNTIF(B50:B55,2)+COUNTIF(B50:B55,4)+COUNTIF(B50:B55,6)</f>
        <v>3</v>
      </c>
      <c r="E50" t="s">
        <v>45</v>
      </c>
    </row>
    <row r="51" spans="1:11" x14ac:dyDescent="0.25">
      <c r="B51" s="6">
        <v>2</v>
      </c>
      <c r="K51" s="1"/>
    </row>
    <row r="52" spans="1:11" x14ac:dyDescent="0.25">
      <c r="B52" s="6">
        <v>3</v>
      </c>
      <c r="E52" s="13" t="s">
        <v>46</v>
      </c>
      <c r="F52" s="11">
        <f>($C$50/COUNT($B$50:$B$55))*($C$50/COUNT($B$50:$B$55))</f>
        <v>0.25</v>
      </c>
      <c r="G52" s="12">
        <f>($C$50/COUNT($B$50:$B$55))*($C$50/COUNT($B$50:$B$55))</f>
        <v>0.25</v>
      </c>
    </row>
    <row r="53" spans="1:11" x14ac:dyDescent="0.25">
      <c r="B53" s="6">
        <v>4</v>
      </c>
    </row>
    <row r="54" spans="1:11" x14ac:dyDescent="0.25">
      <c r="B54" s="6">
        <v>5</v>
      </c>
    </row>
    <row r="55" spans="1:11" x14ac:dyDescent="0.25">
      <c r="B55" s="6">
        <v>6</v>
      </c>
    </row>
    <row r="57" spans="1:11" x14ac:dyDescent="0.25">
      <c r="A57" t="s">
        <v>15</v>
      </c>
    </row>
    <row r="58" spans="1:11" x14ac:dyDescent="0.25">
      <c r="A58" t="s">
        <v>47</v>
      </c>
    </row>
    <row r="60" spans="1:11" ht="60" x14ac:dyDescent="0.25">
      <c r="B60" s="7" t="s">
        <v>19</v>
      </c>
      <c r="C60" s="7" t="s">
        <v>48</v>
      </c>
    </row>
    <row r="61" spans="1:11" x14ac:dyDescent="0.25">
      <c r="B61" s="6">
        <v>1</v>
      </c>
      <c r="C61" s="5">
        <f>COUNTIFS(B61:B66,"&gt;=1",B61:B66,"&lt;=5")</f>
        <v>5</v>
      </c>
      <c r="E61" s="13" t="s">
        <v>49</v>
      </c>
      <c r="F61" s="15">
        <f>($C$61/COUNT($B$61:$B$66))*($C$61/COUNT($B$61:$B$66))</f>
        <v>0.69444444444444453</v>
      </c>
      <c r="G61" s="12">
        <f>($C$61/COUNT($B$61:$B$66))*($C$61/COUNT($B$61:$B$66))</f>
        <v>0.69444444444444453</v>
      </c>
    </row>
    <row r="62" spans="1:11" x14ac:dyDescent="0.25">
      <c r="B62" s="6">
        <v>2</v>
      </c>
      <c r="E62" s="13" t="s">
        <v>50</v>
      </c>
      <c r="F62" s="15">
        <f>1-F61</f>
        <v>0.30555555555555547</v>
      </c>
      <c r="G62" s="12">
        <f>1-(G61*G61)</f>
        <v>0.51774691358024683</v>
      </c>
    </row>
    <row r="63" spans="1:11" x14ac:dyDescent="0.25">
      <c r="B63" s="6">
        <v>3</v>
      </c>
    </row>
    <row r="64" spans="1:11" x14ac:dyDescent="0.25">
      <c r="B64" s="6">
        <v>4</v>
      </c>
    </row>
    <row r="65" spans="2:8" x14ac:dyDescent="0.25">
      <c r="B65" s="6">
        <v>5</v>
      </c>
    </row>
    <row r="66" spans="2:8" x14ac:dyDescent="0.25">
      <c r="B66" s="6">
        <v>6</v>
      </c>
    </row>
    <row r="72" spans="2:8" x14ac:dyDescent="0.25">
      <c r="G72" s="2"/>
    </row>
    <row r="73" spans="2:8" x14ac:dyDescent="0.25">
      <c r="H7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Francesca Maria Fasone</cp:lastModifiedBy>
  <dcterms:created xsi:type="dcterms:W3CDTF">2015-06-05T18:19:34Z</dcterms:created>
  <dcterms:modified xsi:type="dcterms:W3CDTF">2026-07-08T20:00:18Z</dcterms:modified>
</cp:coreProperties>
</file>