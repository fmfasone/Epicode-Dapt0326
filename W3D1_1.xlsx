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3\"/>
    </mc:Choice>
  </mc:AlternateContent>
  <xr:revisionPtr revIDLastSave="0" documentId="13_ncr:1_{76659693-26CF-480E-98A3-AFF237DC5184}" xr6:coauthVersionLast="47" xr6:coauthVersionMax="47" xr10:uidLastSave="{00000000-0000-0000-0000-000000000000}"/>
  <bookViews>
    <workbookView xWindow="-105" yWindow="0" windowWidth="19410" windowHeight="15585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M68" i="3" l="1"/>
  <c r="L68" i="3"/>
  <c r="K68" i="3"/>
  <c r="J68" i="3"/>
  <c r="J27" i="3" a="1"/>
  <c r="K14" i="3"/>
  <c r="K12" i="3"/>
  <c r="K8" i="3" l="1"/>
  <c r="D3" i="2"/>
  <c r="D4" i="2"/>
  <c r="D5" i="2"/>
  <c r="D6" i="2"/>
  <c r="D7" i="2"/>
  <c r="D8" i="2"/>
  <c r="D2" i="2"/>
  <c r="C2" i="2"/>
  <c r="C3" i="2"/>
  <c r="C4" i="2"/>
  <c r="C5" i="2"/>
  <c r="C6" i="2"/>
  <c r="C7" i="2"/>
  <c r="C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<sst xmlns="http://schemas.openxmlformats.org/spreadsheetml/2006/main" count="820" uniqueCount="585">
  <si>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</si>
  <si>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</si>
  <si>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</si>
  <si>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</si>
  <si>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</si>
  <si>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</si>
  <si>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</si>
  <si>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</si>
  <si>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</si>
  <si>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</si>
  <si>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</si>
  <si>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</si>
  <si>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</si>
  <si>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</si>
  <si>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</si>
  <si>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</si>
  <si>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</si>
  <si>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</si>
  <si>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</si>
  <si>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</si>
  <si>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</si>
  <si>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</si>
  <si>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</si>
  <si>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</si>
  <si>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</si>
  <si>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</si>
  <si>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</si>
  <si>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</si>
  <si>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</si>
  <si>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</si>
  <si>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</si>
  <si>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</si>
  <si>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</si>
  <si>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</si>
  <si>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</si>
  <si>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</si>
  <si>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</si>
  <si>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</si>
  <si>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</si>
  <si>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</si>
  <si>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</si>
  <si>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</si>
  <si>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</si>
  <si>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</si>
  <si>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</si>
  <si>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</si>
  <si>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</si>
  <si>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</si>
  <si>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</si>
  <si>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</si>
  <si>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</si>
  <si>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</si>
  <si>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</si>
  <si>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</si>
  <si>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</si>
  <si>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</si>
  <si>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</si>
  <si>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</si>
  <si>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</si>
  <si>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</si>
  <si>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</si>
  <si>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</si>
  <si>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</si>
  <si>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</si>
  <si>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</si>
  <si>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</si>
  <si>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</si>
  <si>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</si>
  <si>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</si>
  <si>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</si>
  <si>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</si>
  <si>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</si>
  <si>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</si>
  <si>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</si>
  <si>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</si>
  <si>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</si>
  <si>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</si>
  <si>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</si>
  <si>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</si>
  <si>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</si>
  <si>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</si>
  <si>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</si>
  <si>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</si>
  <si>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</si>
  <si>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</si>
  <si>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</si>
  <si>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</si>
  <si>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</si>
  <si>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</si>
  <si>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</si>
  <si>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</si>
  <si>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</si>
  <si>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</si>
  <si>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</si>
  <si>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</si>
  <si>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</si>
  <si>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</si>
  <si>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</si>
  <si>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</si>
  <si>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</si>
  <si>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</si>
  <si>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</si>
  <si>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</si>
  <si>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</si>
  <si>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</si>
  <si>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</si>
  <si>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</si>
  <si>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</si>
  <si>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</si>
  <si>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</si>
  <si>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</si>
  <si>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</si>
  <si>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</si>
  <si>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</si>
  <si>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</si>
  <si>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</si>
  <si>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</si>
  <si>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</si>
  <si>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</si>
  <si>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</si>
  <si>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</si>
  <si>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</si>
  <si>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</si>
  <si>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</si>
  <si>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</si>
  <si>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</si>
  <si>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</si>
  <si>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</si>
  <si>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</si>
  <si>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</si>
  <si>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</si>
  <si>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</si>
  <si>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</si>
  <si>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</si>
  <si>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</si>
  <si>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</si>
  <si>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</si>
  <si>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</si>
  <si>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</si>
  <si>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</si>
  <si>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</si>
  <si>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</si>
  <si>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</si>
  <si>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</si>
  <si>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</si>
  <si>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</si>
  <si>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</si>
  <si>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</si>
  <si>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</si>
  <si>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</si>
  <si>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</si>
  <si>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</si>
  <si>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</si>
  <si>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</si>
  <si>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</si>
  <si>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</si>
  <si>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</si>
  <si>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</si>
  <si>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</si>
  <si>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</si>
  <si>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</si>
  <si>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</si>
  <si>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</si>
  <si>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</si>
  <si>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</si>
  <si>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</si>
  <si>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</si>
  <si>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</si>
  <si>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</si>
  <si>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</si>
  <si>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</si>
  <si>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</si>
  <si>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</si>
  <si>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</si>
  <si>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</si>
  <si>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</si>
  <si>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</si>
  <si>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</si>
  <si>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</si>
  <si>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</si>
  <si>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</si>
  <si>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</si>
  <si>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</si>
  <si>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</si>
  <si>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</si>
  <si>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</si>
  <si>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</si>
  <si>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</si>
  <si>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</si>
  <si>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</si>
  <si>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</si>
  <si>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</si>
  <si>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</si>
  <si>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</si>
  <si>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</si>
  <si>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</si>
  <si>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</si>
  <si>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</si>
  <si>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</si>
  <si>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</si>
  <si>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</si>
  <si>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</si>
  <si>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</si>
  <si>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</si>
  <si>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</si>
  <si>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</si>
  <si>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</si>
  <si>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</si>
  <si>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</si>
  <si>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</si>
  <si>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</si>
  <si>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</si>
  <si>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</si>
  <si>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</si>
  <si>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</si>
  <si>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</si>
  <si>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</si>
  <si>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</si>
  <si>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</si>
  <si>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</si>
  <si>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</si>
  <si>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</si>
  <si>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</si>
  <si>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</si>
  <si>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</si>
  <si>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</si>
  <si>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</si>
  <si>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</si>
  <si>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</si>
  <si>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</si>
  <si>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</si>
  <si>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</si>
  <si>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</si>
  <si>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</si>
  <si>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</si>
  <si>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</si>
  <si>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</si>
  <si>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</si>
  <si>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</si>
  <si>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</si>
  <si>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</si>
  <si>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</si>
  <si>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</si>
  <si>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</si>
  <si>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</si>
  <si>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</si>
  <si>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</si>
  <si>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</si>
  <si>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</si>
  <si>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</si>
  <si>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</si>
  <si>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</si>
  <si>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</si>
  <si>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</si>
  <si>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</si>
  <si>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</si>
  <si>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</si>
  <si>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</si>
  <si>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</si>
  <si>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</si>
  <si>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</si>
  <si>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</si>
  <si>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</si>
  <si>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</si>
  <si>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</si>
  <si>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</si>
  <si>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</si>
  <si>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</si>
  <si>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</si>
  <si>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</si>
  <si>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</si>
  <si>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</si>
  <si>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</si>
  <si>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</si>
  <si>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</si>
  <si>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</si>
  <si>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</si>
  <si>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</si>
  <si>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</si>
  <si>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</si>
  <si>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</si>
  <si>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</si>
  <si>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</si>
  <si>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</si>
  <si>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</si>
  <si>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</si>
  <si>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</si>
  <si>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</si>
  <si>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</si>
  <si>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</si>
  <si>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</si>
  <si>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</si>
  <si>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</si>
  <si>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</si>
  <si>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</si>
  <si>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</si>
  <si>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</si>
  <si>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</si>
  <si>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</si>
  <si>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</si>
  <si>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</si>
  <si>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</si>
  <si>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</si>
  <si>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</si>
  <si>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</si>
  <si>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</si>
  <si>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</si>
  <si>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</si>
  <si>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</si>
  <si>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</si>
  <si>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</si>
  <si>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</si>
  <si>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</si>
  <si>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</si>
  <si>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</si>
  <si>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</si>
  <si>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</si>
  <si>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</si>
  <si>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</si>
  <si>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</si>
  <si>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</si>
  <si>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</si>
  <si>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</si>
  <si>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</si>
  <si>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</si>
  <si>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</si>
  <si>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</si>
  <si>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</si>
  <si>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</si>
  <si>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</si>
  <si>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</si>
  <si>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</si>
  <si>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</si>
  <si>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</si>
  <si>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</si>
  <si>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</si>
  <si>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</si>
  <si>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</si>
  <si>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</si>
  <si>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</si>
  <si>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</si>
  <si>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</si>
  <si>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</si>
  <si>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</si>
  <si>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</si>
  <si>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</si>
  <si>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</si>
  <si>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</si>
  <si>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</si>
  <si>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</si>
  <si>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</si>
  <si>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</si>
  <si>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</si>
  <si>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</si>
  <si>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</si>
  <si>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</si>
  <si>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</si>
  <si>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</si>
  <si>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</si>
  <si>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</si>
  <si>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</si>
  <si>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</si>
  <si>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</si>
  <si>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</si>
  <si>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</si>
  <si>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</si>
  <si>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</si>
  <si>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</si>
  <si>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</si>
  <si>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</si>
  <si>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</si>
  <si>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</si>
  <si>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</si>
  <si>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</si>
  <si>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</si>
  <si>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</si>
  <si>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</si>
  <si>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</si>
  <si>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</si>
  <si>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</si>
  <si>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</si>
  <si>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</si>
  <si>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</si>
  <si>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</si>
  <si>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</si>
  <si>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</si>
  <si>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</si>
  <si>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</si>
  <si>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</si>
  <si>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</si>
  <si>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</si>
  <si>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</si>
  <si>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</si>
  <si>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</si>
  <si>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</si>
  <si>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</si>
  <si>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</si>
  <si>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</si>
  <si>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</si>
  <si>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</si>
  <si>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</si>
  <si>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</si>
  <si>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</si>
  <si>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</si>
  <si>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</si>
  <si>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</si>
  <si>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</si>
  <si>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</si>
  <si>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</si>
  <si>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</si>
  <si>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</si>
  <si>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</si>
  <si>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</si>
  <si>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</si>
  <si>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</si>
  <si>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</si>
  <si>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</si>
  <si>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</si>
  <si>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</si>
  <si>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</si>
  <si>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</si>
  <si>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</si>
  <si>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</si>
  <si>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</si>
  <si>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</si>
  <si>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</si>
  <si>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</si>
  <si>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</si>
  <si>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</si>
  <si>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</si>
  <si>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</si>
  <si>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</si>
  <si>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</si>
  <si>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</si>
  <si>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</si>
  <si>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</si>
  <si>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</si>
  <si>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</si>
  <si>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</si>
  <si>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</si>
  <si>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</si>
  <si>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</si>
  <si>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</si>
  <si>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</si>
  <si>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</si>
  <si>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</si>
  <si>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</si>
  <si>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</si>
  <si>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</si>
  <si>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</si>
  <si>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</si>
  <si>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</si>
  <si>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</si>
  <si>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</si>
  <si>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</si>
  <si>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</si>
  <si>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</si>
  <si>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</si>
  <si>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</si>
  <si>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</si>
  <si>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</si>
  <si>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</si>
  <si>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</si>
  <si>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</si>
  <si>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</si>
  <si>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</si>
  <si>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</si>
  <si>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</si>
  <si>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</si>
  <si>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</si>
  <si>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</si>
  <si>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</si>
  <si>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</si>
  <si>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</si>
  <si>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</si>
  <si>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</si>
  <si>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</si>
  <si>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</si>
  <si>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</si>
  <si>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</si>
  <si>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</si>
  <si>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</si>
  <si>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</si>
  <si>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</si>
  <si>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</si>
  <si>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</si>
  <si>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</si>
  <si>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</si>
  <si>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</si>
  <si>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</si>
  <si>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</si>
  <si>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</si>
  <si>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</si>
  <si>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</si>
  <si>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</si>
  <si>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</si>
  <si>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</si>
  <si>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</si>
  <si>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</si>
  <si>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</si>
  <si>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</si>
  <si>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</si>
  <si>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</si>
  <si>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</si>
  <si>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</si>
  <si>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</si>
  <si>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</si>
  <si>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</si>
  <si>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</si>
  <si>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</si>
  <si>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</si>
  <si>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</si>
  <si>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</si>
  <si>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</si>
  <si>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</si>
  <si>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</si>
  <si>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</si>
  <si>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</si>
  <si>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</si>
  <si>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</si>
  <si>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</si>
  <si>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</si>
  <si>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</si>
  <si>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</si>
  <si>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</si>
  <si>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</si>
  <si>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</si>
  <si>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</si>
  <si>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</si>
  <si>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</si>
  <si>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</si>
  <si>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</si>
  <si>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</si>
  <si>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</si>
  <si>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</si>
  <si>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</si>
  <si>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</si>
  <si>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</si>
  <si>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</si>
  <si>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</si>
  <si>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</si>
  <si>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</si>
  <si>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</si>
  <si>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</si>
  <si>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</si>
  <si>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</si>
  <si>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</si>
  <si>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</si>
  <si>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</si>
  <si>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</si>
  <si>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</si>
  <si>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</si>
  <si>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</si>
  <si>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</si>
  <si>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</si>
  <si>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</si>
  <si>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</si>
  <si>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</si>
  <si>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</si>
  <si>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</si>
  <si>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</si>
  <si>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</si>
  <si>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</si>
  <si>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</si>
  <si>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</si>
  <si>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</si>
  <si>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</si>
  <si>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</si>
  <si>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</si>
  <si>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valore soglia</t>
  </si>
  <si>
    <t>Giudizio</t>
  </si>
  <si>
    <t>fascia merito</t>
  </si>
  <si>
    <t>buono</t>
  </si>
  <si>
    <t>discreto</t>
  </si>
  <si>
    <t>insufficiente</t>
  </si>
  <si>
    <t>punteggio</t>
  </si>
  <si>
    <t>Fascia merito</t>
  </si>
  <si>
    <t>per rendere il conteggio dinamico possiamo parametrare la categoria da cercare</t>
  </si>
  <si>
    <t>numero fatture per categoria "abbigliamento"</t>
  </si>
  <si>
    <t>numero fatture per categoria</t>
  </si>
  <si>
    <t>totale importi fatturato per categoria</t>
  </si>
  <si>
    <t>Importo fattura totale</t>
  </si>
  <si>
    <t>Spese di spedizione totale</t>
  </si>
  <si>
    <t>nr. Totale Clienti</t>
  </si>
  <si>
    <t>nr. Totale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</si>
</sst>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#,##0.00\ &quot;€&quot;"/>
  </numFmts>
  <fonts count="11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8" fillId="2" borderId="0" xfId="0" applyFont="1" applyFill="1"/>
    <xf numFmtId="0" fontId="4" fillId="0" borderId="2" xfId="0" applyFont="1" applyBorder="1"/>
    <xf numFmtId="0" fontId="4" fillId="4" borderId="2" xfId="0" applyFont="1" applyFill="1" applyBorder="1"/>
    <xf numFmtId="0" fontId="9" fillId="0" borderId="2" xfId="0" applyFont="1" applyBorder="1"/>
    <xf numFmtId="0" fontId="2" fillId="0" borderId="2" xfId="0" applyFont="1" applyBorder="1"/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0" fontId="0" fillId="0" borderId="2" xfId="0" applyBorder="1"/>
    <xf numFmtId="44" fontId="0" fillId="0" borderId="2" xfId="1" applyFont="1" applyBorder="1" applyAlignment="1"/>
    <xf numFmtId="0" fontId="0" fillId="4" borderId="2" xfId="0" applyFill="1" applyBorder="1"/>
    <xf numFmtId="0" fontId="0" fillId="0" borderId="0" xfId="0" applyAlignment="1">
      <alignment wrapText="1"/>
    </xf>
    <xf numFmtId="14" fontId="0" fillId="0" borderId="0" xfId="0" applyNumberFormat="1"/>
    <xf numFmtId="168" fontId="0" fillId="0" borderId="0" xfId="0" applyNumberFormat="1"/>
    <xf numFmtId="44" fontId="0" fillId="0" borderId="2" xfId="1" applyFont="1" applyBorder="1"/>
    <xf numFmtId="44" fontId="0" fillId="0" borderId="0" xfId="1" applyFont="1"/>
    <xf numFmtId="165" fontId="0" fillId="0" borderId="2" xfId="0" applyNumberFormat="1" applyBorder="1"/>
    <xf numFmtId="0" fontId="5" fillId="4" borderId="2" xfId="0" applyFont="1" applyFill="1" applyBorder="1"/>
    <xf numFmtId="165" fontId="5" fillId="4" borderId="2" xfId="0" applyNumberFormat="1" applyFont="1" applyFill="1" applyBorder="1"/>
  </cellXfs>
  <cellStyles count="2">
    <cellStyle name="Normale" xfId="0" builtinId="0"/>
    <cellStyle name="Valuta" xfId="1" builtinId="4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497D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d/m/yyyy"/>
    </dxf>
    <dxf>
      <border outline="0">
        <bottom style="thick">
          <color rgb="FFA6BF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FFFFFF"/>
          <bgColor rgb="FFFFFFFF"/>
        </patternFill>
      </fill>
    </dxf>
    <dxf>
      <font>
        <color theme="1"/>
      </font>
      <numFmt numFmtId="0" formatCode="General"/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36993</xdr:colOff>
      <xdr:row>1</xdr:row>
      <xdr:rowOff>9581</xdr:rowOff>
    </xdr:from>
    <xdr:to>
      <xdr:col>12</xdr:col>
      <xdr:colOff>380319</xdr:colOff>
      <xdr:row>4</xdr:row>
      <xdr:rowOff>133350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6EF89FE-8258-466D-8E84-164C95EA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0418" y="171506"/>
          <a:ext cx="5239176" cy="609544"/>
        </a:xfrm>
        <a:prstGeom prst="rect">
          <a:avLst/>
        </a:prstGeom>
      </xdr:spPr>
    </xdr:pic>
    <xdr:clientData/>
  </xdr:twoCellAnchor>
  <xdr:twoCellAnchor editAs="oneCell">
    <xdr:from>
      <xdr:col>5</xdr:col>
      <xdr:colOff>48109</xdr:colOff>
      <xdr:row>7</xdr:row>
      <xdr:rowOff>161589</xdr:rowOff>
    </xdr:from>
    <xdr:to>
      <xdr:col>12</xdr:col>
      <xdr:colOff>238125</xdr:colOff>
      <xdr:row>11</xdr:row>
      <xdr:rowOff>114693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1A0FF21-E403-49D6-89C5-A6509B0E5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1534" y="1295064"/>
          <a:ext cx="5085866" cy="6008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29078</xdr:colOff>
      <xdr:row>2</xdr:row>
      <xdr:rowOff>23204</xdr:rowOff>
    </xdr:from>
    <xdr:to>
      <xdr:col>10</xdr:col>
      <xdr:colOff>1340645</xdr:colOff>
      <xdr:row>5</xdr:row>
      <xdr:rowOff>72118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97FFCCD-F1F6-4040-A071-6286EE34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1053" y="366104"/>
          <a:ext cx="3942848" cy="563264"/>
        </a:xfrm>
        <a:prstGeom prst="rect">
          <a:avLst/>
        </a:prstGeom>
      </xdr:spPr>
    </xdr:pic>
    <xdr:clientData/>
  </xdr:twoCellAnchor>
  <xdr:twoCellAnchor editAs="oneCell">
    <xdr:from>
      <xdr:col>9</xdr:col>
      <xdr:colOff>106781</xdr:colOff>
      <xdr:row>17</xdr:row>
      <xdr:rowOff>100077</xdr:rowOff>
    </xdr:from>
    <xdr:to>
      <xdr:col>10</xdr:col>
      <xdr:colOff>2415478</xdr:colOff>
      <xdr:row>21</xdr:row>
      <xdr:rowOff>47625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39E1C48-967A-6531-8898-742C5933C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6406" y="3088546"/>
          <a:ext cx="4939978" cy="614298"/>
        </a:xfrm>
        <a:prstGeom prst="rect">
          <a:avLst/>
        </a:prstGeom>
      </xdr:spPr>
    </xdr:pic>
    <xdr:clientData/>
  </xdr:twoCellAnchor>
  <xdr:twoCellAnchor editAs="oneCell">
    <xdr:from>
      <xdr:col>9</xdr:col>
      <xdr:colOff>126710</xdr:colOff>
      <xdr:row>60</xdr:row>
      <xdr:rowOff>147701</xdr:rowOff>
    </xdr:from>
    <xdr:to>
      <xdr:col>11</xdr:col>
      <xdr:colOff>404811</xdr:colOff>
      <xdr:row>65</xdr:row>
      <xdr:rowOff>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AE37AEF1-E88B-230E-67FE-E32B59E8B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6335" y="10363264"/>
          <a:ext cx="5385882" cy="6857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9">
      <calculatedColumnFormula>IF(Table_1[[#This Row],[Column2]]&gt;=$G$7,"sufficiente","insufficiente")</calculatedColumnFormula>
    </tableColumn>
    <tableColumn id="6" xr3:uid="{45F42107-C1D7-41C1-9882-76D20D563D8E}" name="Colonna3" dataDxfId="8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AC2C09-2DEC-4C07-A310-EA47129DF09A}" name="Tabellafatture" displayName="Tabellafatture" ref="A1:E80" totalsRowShown="0" headerRowDxfId="0" dataDxfId="1" headerRowBorderDxfId="7">
  <autoFilter ref="A1:E80" xr:uid="{48AC2C09-2DEC-4C07-A310-EA47129DF09A}"/>
  <tableColumns count="5">
    <tableColumn id="1" xr3:uid="{9CFB5795-4F19-4272-A3A8-1DB45C1A94CE}" name="Data" dataDxfId="6"/>
    <tableColumn id="2" xr3:uid="{E9006D55-441A-4CC0-BFD7-8D7CB9F5CD13}" name="Cliente" dataDxfId="5"/>
    <tableColumn id="3" xr3:uid="{A4957414-A94A-4406-BEF9-A0D02F08CAC3}" name="Categoria" dataDxfId="4"/>
    <tableColumn id="4" xr3:uid="{BDD0166C-BB17-4EB8-BB6E-B4C25BE29423}" name="Importo fattura" dataDxfId="3"/>
    <tableColumn id="5" xr3:uid="{FCB229CB-4FE0-4D14-9C7B-FBDBB56EA39C}" name="Spese di spedizion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11.7109375" customWidth="1"/>
    <col min="5" max="5" width="47.7109375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/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3"/>
  <sheetViews>
    <sheetView workbookViewId="0">
      <selection activeCell="D2" sqref="D2"/>
    </sheetView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4" width="19.28515625" customWidth="1"/>
    <col min="5" max="6" width="14" customWidth="1"/>
    <col min="7" max="7" width="11.28515625" bestFit="1" customWidth="1"/>
    <col min="8" max="8" width="7.28515625" customWidth="1"/>
    <col min="9" max="9" width="14.28515625" customWidth="1"/>
    <col min="10" max="10" width="8" customWidth="1"/>
    <col min="11" max="28" width="9.28515625" customWidth="1"/>
  </cols>
  <sheetData>
    <row r="1" spans="1:28" ht="12.75" customHeight="1" x14ac:dyDescent="0.2">
      <c r="A1" s="6" t="s">
        <v>484</v>
      </c>
      <c r="B1" s="6" t="s">
        <v>485</v>
      </c>
      <c r="C1" s="6" t="s">
        <v>570</v>
      </c>
      <c r="D1" s="15" t="s">
        <v>576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8" ht="12.75" customHeight="1" x14ac:dyDescent="0.2">
      <c r="A2" s="7" t="s">
        <v>486</v>
      </c>
      <c r="B2" s="7">
        <v>40</v>
      </c>
      <c r="C2" s="7" t="str">
        <f>IF(Table_1[[#This Row],[Column2]]&gt;=$G$7,"sufficiente","insufficiente")</f>
        <v>insufficiente</v>
      </c>
      <c r="D2" s="7" t="str">
        <f>IF(Table_1[[#This Row],[Column2]]&gt;=$G$15,"buono",IF(Table_1[[#This Row],[Column2]]&gt;=$H$16,"discreto","insufficiente"))</f>
        <v>insufficiente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8" ht="12.75" customHeight="1" x14ac:dyDescent="0.2">
      <c r="A3" s="7" t="s">
        <v>487</v>
      </c>
      <c r="B3" s="7">
        <v>60</v>
      </c>
      <c r="C3" s="7" t="str">
        <f>IF(Table_1[[#This Row],[Column2]]&gt;=$G$7,"sufficiente","insufficiente")</f>
        <v>sufficiente</v>
      </c>
      <c r="D3" s="7" t="str">
        <f>IF(Table_1[[#This Row],[Column2]]&gt;=$G$15,"buono",IF(Table_1[[#This Row],[Column2]]&gt;=$H$16,"discreto","insufficiente"))</f>
        <v>discreto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8" ht="12.75" customHeight="1" x14ac:dyDescent="0.2">
      <c r="A4" s="7" t="s">
        <v>488</v>
      </c>
      <c r="B4" s="7">
        <v>60</v>
      </c>
      <c r="C4" s="7" t="str">
        <f>IF(Table_1[[#This Row],[Column2]]&gt;=$G$7,"sufficiente","insufficiente")</f>
        <v>sufficiente</v>
      </c>
      <c r="D4" s="7" t="str">
        <f>IF(Table_1[[#This Row],[Column2]]&gt;=$G$15,"buono",IF(Table_1[[#This Row],[Column2]]&gt;=$H$16,"discreto","insufficiente"))</f>
        <v>discreto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8" ht="12.75" customHeight="1" x14ac:dyDescent="0.2">
      <c r="A5" s="7" t="s">
        <v>489</v>
      </c>
      <c r="B5" s="7">
        <v>40</v>
      </c>
      <c r="C5" s="7" t="str">
        <f>IF(Table_1[[#This Row],[Column2]]&gt;=$G$7,"sufficiente","insufficiente")</f>
        <v>insufficiente</v>
      </c>
      <c r="D5" s="7" t="str">
        <f>IF(Table_1[[#This Row],[Column2]]&gt;=$G$15,"buono",IF(Table_1[[#This Row],[Column2]]&gt;=$H$16,"discreto","insufficiente"))</f>
        <v>insufficiente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ht="12.75" customHeight="1" x14ac:dyDescent="0.2">
      <c r="A6" s="7" t="s">
        <v>490</v>
      </c>
      <c r="B6" s="7">
        <v>70</v>
      </c>
      <c r="C6" s="7" t="str">
        <f>IF(Table_1[[#This Row],[Column2]]&gt;=$G$7,"sufficiente","insufficiente")</f>
        <v>sufficiente</v>
      </c>
      <c r="D6" s="7" t="str">
        <f>IF(Table_1[[#This Row],[Column2]]&gt;=$G$15,"buono",IF(Table_1[[#This Row],[Column2]]&gt;=$H$16,"discreto","insufficiente"))</f>
        <v>buono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ht="12.75" customHeight="1" x14ac:dyDescent="0.2">
      <c r="A7" s="7" t="s">
        <v>491</v>
      </c>
      <c r="B7" s="7">
        <v>0</v>
      </c>
      <c r="C7" s="7" t="str">
        <f>IF(Table_1[[#This Row],[Column2]]&gt;=$G$7,"sufficiente","insufficiente")</f>
        <v>insufficiente</v>
      </c>
      <c r="D7" s="7" t="str">
        <f>IF(Table_1[[#This Row],[Column2]]&gt;=$G$15,"buono",IF(Table_1[[#This Row],[Column2]]&gt;=$H$16,"discreto","insufficiente"))</f>
        <v>insufficiente</v>
      </c>
      <c r="F7" s="17" t="s">
        <v>569</v>
      </c>
      <c r="G7" s="16">
        <v>60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ht="12.75" customHeight="1" x14ac:dyDescent="0.2">
      <c r="A8" s="7" t="s">
        <v>492</v>
      </c>
      <c r="B8" s="7">
        <v>0</v>
      </c>
      <c r="C8" s="7" t="str">
        <f>IF(Table_1[[#This Row],[Column2]]&gt;=$G$7,"sufficiente","insufficiente")</f>
        <v>insufficiente</v>
      </c>
      <c r="D8" s="7" t="str">
        <f>IF(Table_1[[#This Row],[Column2]]&gt;=$G$15,"buono",IF(Table_1[[#This Row],[Column2]]&gt;=$H$16,"discreto","insufficiente"))</f>
        <v>insufficiente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ht="12.75" customHeight="1" x14ac:dyDescent="0.2">
      <c r="A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2.75" customHeight="1" x14ac:dyDescent="0.2">
      <c r="A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2.75" customHeight="1" x14ac:dyDescent="0.2">
      <c r="A14" s="4"/>
      <c r="B14" s="4"/>
      <c r="C14" s="4"/>
      <c r="D14" s="4"/>
      <c r="E14" s="4"/>
      <c r="F14" s="20" t="s">
        <v>571</v>
      </c>
      <c r="G14" s="21" t="s">
        <v>575</v>
      </c>
      <c r="H14" s="2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2.75" customHeight="1" x14ac:dyDescent="0.2">
      <c r="A15" s="4"/>
      <c r="B15" s="4"/>
      <c r="C15" s="4"/>
      <c r="D15" s="4"/>
      <c r="E15" s="4"/>
      <c r="F15" s="18" t="s">
        <v>572</v>
      </c>
      <c r="G15" s="19">
        <v>70</v>
      </c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2.75" customHeight="1" x14ac:dyDescent="0.2">
      <c r="A16" s="4"/>
      <c r="B16" s="4"/>
      <c r="C16" s="4"/>
      <c r="D16" s="4"/>
      <c r="E16" s="4"/>
      <c r="F16" s="18" t="s">
        <v>573</v>
      </c>
      <c r="G16" s="19">
        <v>69</v>
      </c>
      <c r="H16" s="19">
        <v>60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2.75" customHeight="1" x14ac:dyDescent="0.2">
      <c r="A17" s="4"/>
      <c r="B17" s="4"/>
      <c r="C17" s="4"/>
      <c r="D17" s="4"/>
      <c r="E17" s="4"/>
      <c r="F17" s="18" t="s">
        <v>574</v>
      </c>
      <c r="G17" s="19">
        <v>60</v>
      </c>
      <c r="H17" s="1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</sheetData>
  <mergeCells count="1">
    <mergeCell ref="G14:H14"/>
  </mergeCells>
  <pageMargins left="0.75" right="0.75" top="1" bottom="1" header="0" footer="0"/>
  <pageSetup paperSize="9" orientation="portrait" r:id="rId1"/>
  <ignoredErrors>
    <ignoredError sqref="C1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topLeftCell="D1" zoomScale="80" zoomScaleNormal="80" workbookViewId="0">
      <selection activeCell="J25" sqref="J25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9.5703125" customWidth="1"/>
    <col min="5" max="5" width="23.7109375" customWidth="1"/>
    <col min="6" max="6" width="3.7109375" customWidth="1"/>
    <col min="7" max="7" width="2.42578125" customWidth="1"/>
    <col min="8" max="9" width="8.7109375" customWidth="1"/>
    <col min="10" max="10" width="39.42578125" customWidth="1"/>
    <col min="11" max="14" width="37.140625" customWidth="1"/>
    <col min="15" max="24" width="8.7109375" customWidth="1"/>
  </cols>
  <sheetData>
    <row r="1" spans="1:24" ht="13.5" customHeight="1" x14ac:dyDescent="0.3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J8" s="24" t="s">
        <v>578</v>
      </c>
      <c r="K8" s="22">
        <f>COUNTIF($C$2:$C$80,"Abbigliamento")</f>
        <v>11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</row>
    <row r="10" spans="1:24" ht="25.5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J10" s="25" t="s">
        <v>577</v>
      </c>
      <c r="K10" t="s">
        <v>499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J12" s="24" t="s">
        <v>579</v>
      </c>
      <c r="K12" s="22">
        <f>COUNTIF($C$2:$C$80,$K$10)</f>
        <v>11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J14" s="24" t="s">
        <v>580</v>
      </c>
      <c r="K14" s="23">
        <f>SUMIF(Tabellafatture[Categoria],K10,Tabellafatture[Importo fattura])</f>
        <v>611780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14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14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14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14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14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14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14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14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J24" s="24" t="s">
        <v>569</v>
      </c>
      <c r="K24" s="28">
        <v>40000</v>
      </c>
    </row>
    <row r="25" spans="1:14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14" ht="18" thickBot="1" x14ac:dyDescent="0.35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J26" s="9" t="s">
        <v>493</v>
      </c>
      <c r="K26" s="9" t="s">
        <v>494</v>
      </c>
      <c r="L26" s="9" t="s">
        <v>495</v>
      </c>
      <c r="M26" s="10" t="s">
        <v>496</v>
      </c>
      <c r="N26" s="10" t="s">
        <v>497</v>
      </c>
    </row>
    <row r="27" spans="1:14" ht="13.5" customHeight="1" thickTop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J27" s="26" cm="1">
        <f t="array" ref="J27:N59">_xlfn._xlws.SORT(_xlfn._xlws.FILTER(Tabellafatture[],Tabellafatture[Importo fattura]&gt;40000,"NON DISPONIBILE"),4,-1)</f>
        <v>36604</v>
      </c>
      <c r="K27" t="str">
        <v>Gateway 2000</v>
      </c>
      <c r="L27" t="str">
        <v>Hardware</v>
      </c>
      <c r="M27" s="27">
        <v>2425000</v>
      </c>
      <c r="N27" s="29">
        <v>11</v>
      </c>
    </row>
    <row r="28" spans="1:14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J28" s="26">
        <v>36649</v>
      </c>
      <c r="K28" t="str">
        <v>Gateway 2000</v>
      </c>
      <c r="L28" t="str">
        <v>Hardware</v>
      </c>
      <c r="M28" s="27">
        <v>2425000</v>
      </c>
      <c r="N28" s="29">
        <v>21</v>
      </c>
    </row>
    <row r="29" spans="1:14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J29" s="26">
        <v>36651</v>
      </c>
      <c r="K29" t="str">
        <v>Gateway 2000</v>
      </c>
      <c r="L29" t="str">
        <v>Hardware</v>
      </c>
      <c r="M29" s="27">
        <v>1860000</v>
      </c>
      <c r="N29" s="29">
        <v>19</v>
      </c>
    </row>
    <row r="30" spans="1:14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  <c r="J30" s="26">
        <v>36573</v>
      </c>
      <c r="K30" t="str">
        <v>American Airlines</v>
      </c>
      <c r="L30" t="str">
        <v>Viaggio d'affari</v>
      </c>
      <c r="M30" s="27">
        <v>1368000</v>
      </c>
      <c r="N30" s="29">
        <v>28</v>
      </c>
    </row>
    <row r="31" spans="1:14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  <c r="J31" s="26">
        <v>36555</v>
      </c>
      <c r="K31" t="str">
        <v>Fletcher's for Children</v>
      </c>
      <c r="L31" t="str">
        <v>Mobili</v>
      </c>
      <c r="M31" s="27">
        <v>348980</v>
      </c>
      <c r="N31" s="29">
        <v>15</v>
      </c>
    </row>
    <row r="32" spans="1:14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  <c r="J32" s="26">
        <v>36554</v>
      </c>
      <c r="K32" t="str">
        <v>Agora Publishing</v>
      </c>
      <c r="L32" t="str">
        <v>Manuali</v>
      </c>
      <c r="M32" s="27">
        <v>295000</v>
      </c>
      <c r="N32" s="29">
        <v>27</v>
      </c>
    </row>
    <row r="33" spans="1:14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  <c r="J33" s="26">
        <v>36573</v>
      </c>
      <c r="K33" t="str">
        <v>Alaska Airlines</v>
      </c>
      <c r="L33" t="str">
        <v>Viaggio d'affari</v>
      </c>
      <c r="M33" s="27">
        <v>201000</v>
      </c>
      <c r="N33" s="29">
        <v>14</v>
      </c>
    </row>
    <row r="34" spans="1:14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  <c r="J34" s="26">
        <v>36596</v>
      </c>
      <c r="K34" t="str">
        <v>DAK Industries</v>
      </c>
      <c r="L34" t="str">
        <v>Mobili</v>
      </c>
      <c r="M34" s="27">
        <v>183900</v>
      </c>
      <c r="N34" s="29">
        <v>26</v>
      </c>
    </row>
    <row r="35" spans="1:14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  <c r="J35" s="26">
        <v>36637</v>
      </c>
      <c r="K35" t="str">
        <v>DAK Industries</v>
      </c>
      <c r="L35" t="str">
        <v>Mobili</v>
      </c>
      <c r="M35" s="27">
        <v>183900</v>
      </c>
      <c r="N35" s="29">
        <v>18</v>
      </c>
    </row>
    <row r="36" spans="1:14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  <c r="J36" s="26">
        <v>36596</v>
      </c>
      <c r="K36" t="str">
        <v>After the Stork</v>
      </c>
      <c r="L36" t="str">
        <v>Abbigliamento</v>
      </c>
      <c r="M36" s="27">
        <v>163500</v>
      </c>
      <c r="N36" s="29">
        <v>18</v>
      </c>
    </row>
    <row r="37" spans="1:14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  <c r="J37" s="26">
        <v>36580</v>
      </c>
      <c r="K37" t="str">
        <v>Biobottoms</v>
      </c>
      <c r="L37" t="str">
        <v>Abbigliamento</v>
      </c>
      <c r="M37" s="27">
        <v>151500</v>
      </c>
      <c r="N37" s="29">
        <v>13</v>
      </c>
    </row>
    <row r="38" spans="1:14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  <c r="J38" s="26">
        <v>36596</v>
      </c>
      <c r="K38" t="str">
        <v>Avis</v>
      </c>
      <c r="L38" t="str">
        <v>Viaggio d'affari: trasporto</v>
      </c>
      <c r="M38" s="27">
        <v>127950</v>
      </c>
      <c r="N38" s="29">
        <v>20</v>
      </c>
    </row>
    <row r="39" spans="1:14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  <c r="J39" s="26">
        <v>36558</v>
      </c>
      <c r="K39" t="str">
        <v>Furrow Building Materials</v>
      </c>
      <c r="L39" t="str">
        <v>Educazione dei figli</v>
      </c>
      <c r="M39" s="27">
        <v>127490</v>
      </c>
      <c r="N39" s="29">
        <v>17</v>
      </c>
    </row>
    <row r="40" spans="1:14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  <c r="J40" s="26">
        <v>36598</v>
      </c>
      <c r="K40" t="str">
        <v>Furrow Building Materials</v>
      </c>
      <c r="L40" t="str">
        <v>Educazione dei figli</v>
      </c>
      <c r="M40" s="27">
        <v>127490</v>
      </c>
      <c r="N40" s="29">
        <v>21</v>
      </c>
    </row>
    <row r="41" spans="1:14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  <c r="J41" s="26">
        <v>36548</v>
      </c>
      <c r="K41" t="str">
        <v>Canon USA</v>
      </c>
      <c r="L41" t="str">
        <v>Ufficio</v>
      </c>
      <c r="M41" s="27">
        <v>98450</v>
      </c>
      <c r="N41" s="29">
        <v>21</v>
      </c>
    </row>
    <row r="42" spans="1:14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  <c r="J42" s="26">
        <v>36553</v>
      </c>
      <c r="K42" t="str">
        <v>Deluxe Business Forms</v>
      </c>
      <c r="L42" t="str">
        <v>Ufficio</v>
      </c>
      <c r="M42" s="27">
        <v>87450</v>
      </c>
      <c r="N42" s="29">
        <v>24</v>
      </c>
    </row>
    <row r="43" spans="1:14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  <c r="J43" s="26">
        <v>36603</v>
      </c>
      <c r="K43" t="str">
        <v>Chinaberry Book</v>
      </c>
      <c r="L43" t="str">
        <v>Svago</v>
      </c>
      <c r="M43" s="27">
        <v>87300</v>
      </c>
      <c r="N43" s="29">
        <v>18</v>
      </c>
    </row>
    <row r="44" spans="1:14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  <c r="J44" s="26">
        <v>36629</v>
      </c>
      <c r="K44" t="str">
        <v>DeLorme Publishing</v>
      </c>
      <c r="L44" t="str">
        <v>Software ufficio</v>
      </c>
      <c r="M44" s="27">
        <v>84500</v>
      </c>
      <c r="N44" s="29">
        <v>21</v>
      </c>
    </row>
    <row r="45" spans="1:14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  <c r="J45" s="26">
        <v>36637</v>
      </c>
      <c r="K45" t="str">
        <v>Biobottoms</v>
      </c>
      <c r="L45" t="str">
        <v>Abbigliamento</v>
      </c>
      <c r="M45" s="27">
        <v>81500</v>
      </c>
      <c r="N45" s="29">
        <v>25</v>
      </c>
    </row>
    <row r="46" spans="1:14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  <c r="J46" s="26">
        <v>36609</v>
      </c>
      <c r="K46" t="str">
        <v>Avis</v>
      </c>
      <c r="L46" t="str">
        <v>Viaggio d'affari: trasporto</v>
      </c>
      <c r="M46" s="27">
        <v>78530</v>
      </c>
      <c r="N46" s="29">
        <v>25</v>
      </c>
    </row>
    <row r="47" spans="1:14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  <c r="J47" s="26">
        <v>36595</v>
      </c>
      <c r="K47" t="str">
        <v>Epcot Center</v>
      </c>
      <c r="L47" t="str">
        <v>Svago</v>
      </c>
      <c r="M47" s="27">
        <v>71800</v>
      </c>
      <c r="N47" s="29">
        <v>18</v>
      </c>
    </row>
    <row r="48" spans="1:14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  <c r="J48" s="26">
        <v>36624</v>
      </c>
      <c r="K48" t="str">
        <v>Elco Computers</v>
      </c>
      <c r="L48" t="str">
        <v>Hardware</v>
      </c>
      <c r="M48" s="27">
        <v>55600</v>
      </c>
      <c r="N48" s="29">
        <v>11</v>
      </c>
    </row>
    <row r="49" spans="1:14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  <c r="J49" s="26">
        <v>36632</v>
      </c>
      <c r="K49" t="str">
        <v>After the Stork</v>
      </c>
      <c r="L49" t="str">
        <v>Abbigliamento</v>
      </c>
      <c r="M49" s="27">
        <v>51800</v>
      </c>
      <c r="N49" s="29">
        <v>21</v>
      </c>
    </row>
    <row r="50" spans="1:14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  <c r="J50" s="26">
        <v>36547</v>
      </c>
      <c r="K50" t="str">
        <v>Allstate</v>
      </c>
      <c r="L50" t="str">
        <v>Assicurazione</v>
      </c>
      <c r="M50" s="27">
        <v>50800</v>
      </c>
      <c r="N50" s="29">
        <v>22</v>
      </c>
    </row>
    <row r="51" spans="1:14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  <c r="J51" s="26">
        <v>36700</v>
      </c>
      <c r="K51" t="str">
        <v>H &amp; B Recordings</v>
      </c>
      <c r="L51" t="str">
        <v>Svago</v>
      </c>
      <c r="M51" s="27">
        <v>50280</v>
      </c>
      <c r="N51" s="29">
        <v>20</v>
      </c>
    </row>
    <row r="52" spans="1:14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  <c r="J52" s="26">
        <v>36529</v>
      </c>
      <c r="K52" t="str">
        <v>Ferguson and Bardell</v>
      </c>
      <c r="L52" t="str">
        <v>Abbigliamento</v>
      </c>
      <c r="M52" s="27">
        <v>50000</v>
      </c>
      <c r="N52" s="29">
        <v>16</v>
      </c>
    </row>
    <row r="53" spans="1:14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  <c r="J53" s="26">
        <v>36598</v>
      </c>
      <c r="K53" t="str">
        <v>Ferguson and Bardell</v>
      </c>
      <c r="L53" t="str">
        <v>Salute</v>
      </c>
      <c r="M53" s="27">
        <v>50000</v>
      </c>
      <c r="N53" s="29">
        <v>15</v>
      </c>
    </row>
    <row r="54" spans="1:14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  <c r="J54" s="26">
        <v>36558</v>
      </c>
      <c r="K54" t="str">
        <v>Chinaberry Book</v>
      </c>
      <c r="L54" t="str">
        <v>Svago</v>
      </c>
      <c r="M54" s="27">
        <v>49400</v>
      </c>
      <c r="N54" s="29">
        <v>13</v>
      </c>
    </row>
    <row r="55" spans="1:14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  <c r="J55" s="26">
        <v>36551</v>
      </c>
      <c r="K55" t="str">
        <v>H&amp;B</v>
      </c>
      <c r="L55" t="str">
        <v>Svago</v>
      </c>
      <c r="M55" s="27">
        <v>45890</v>
      </c>
      <c r="N55" s="29">
        <v>18</v>
      </c>
    </row>
    <row r="56" spans="1:14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  <c r="J56" s="26">
        <v>36622</v>
      </c>
      <c r="K56" t="str">
        <v>Gardeners Eden</v>
      </c>
      <c r="L56" t="str">
        <v>Abitazione</v>
      </c>
      <c r="M56" s="27">
        <v>44950</v>
      </c>
      <c r="N56" s="29">
        <v>20</v>
      </c>
    </row>
    <row r="57" spans="1:14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  <c r="J57" s="26">
        <v>36543</v>
      </c>
      <c r="K57" t="str">
        <v>Fletcher's for Children</v>
      </c>
      <c r="L57" t="str">
        <v>Attrezzatura</v>
      </c>
      <c r="M57" s="27">
        <v>43500</v>
      </c>
      <c r="N57" s="29">
        <v>29</v>
      </c>
    </row>
    <row r="58" spans="1:14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  <c r="J58" s="26">
        <v>36596</v>
      </c>
      <c r="K58" t="str">
        <v>Chambers</v>
      </c>
      <c r="L58" t="str">
        <v>Regali</v>
      </c>
      <c r="M58" s="27">
        <v>43500</v>
      </c>
      <c r="N58" s="29">
        <v>16</v>
      </c>
    </row>
    <row r="59" spans="1:14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  <c r="J59" s="26">
        <v>36697</v>
      </c>
      <c r="K59" t="str">
        <v>Bridgewater Restaurant, Florence</v>
      </c>
      <c r="L59" t="str">
        <v>Ristorante</v>
      </c>
      <c r="M59" s="27">
        <v>40650</v>
      </c>
      <c r="N59" s="29">
        <v>17</v>
      </c>
    </row>
    <row r="60" spans="1:14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14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14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14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14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13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13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13" ht="17.25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  <c r="J67" s="31" t="s">
        <v>583</v>
      </c>
      <c r="K67" s="31" t="s">
        <v>584</v>
      </c>
      <c r="L67" s="32" t="s">
        <v>581</v>
      </c>
      <c r="M67" s="32" t="s">
        <v>582</v>
      </c>
    </row>
    <row r="68" spans="1:13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  <c r="J68" s="22">
        <f>COUNTA(Tabellafatture[Cliente])</f>
        <v>79</v>
      </c>
      <c r="K68" s="22">
        <f>COUNTA(Tabellafatture[Categoria])</f>
        <v>79</v>
      </c>
      <c r="L68" s="30">
        <f>SUM(Tabellafatture[Importo fattura])</f>
        <v>11954160</v>
      </c>
      <c r="M68" s="30">
        <f>SUM(Tabellafatture[Spese di spedizione])</f>
        <v>1526</v>
      </c>
    </row>
    <row r="69" spans="1:13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13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13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13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13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13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13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13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13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13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13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13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dataValidations count="1">
    <dataValidation type="list" allowBlank="1" showInputMessage="1" showErrorMessage="1" sqref="K10" xr:uid="{415CFEB4-1C92-4B9A-9B63-41DEEA863408}">
      <formula1>$C$2:$C$80</formula1>
    </dataValidation>
  </dataValidations>
  <pageMargins left="0.75" right="0.75" top="1" bottom="1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Francesca Maria Fasone</cp:lastModifiedBy>
  <dcterms:created xsi:type="dcterms:W3CDTF">2005-04-12T12:35:30Z</dcterms:created>
  <dcterms:modified xsi:type="dcterms:W3CDTF">2026-07-16T16:31:52Z</dcterms:modified>
</cp:coreProperties>
</file>