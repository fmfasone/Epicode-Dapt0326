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rancesca Fasone\Desktop\EPICODE\PROVE PRATICHE W3\"/>
    </mc:Choice>
  </mc:AlternateContent>
  <xr:revisionPtr revIDLastSave="0" documentId="13_ncr:1_{25E82254-7BC6-4F38-83E0-392291FD0117}" xr6:coauthVersionLast="47" xr6:coauthVersionMax="47" xr10:uidLastSave="{00000000-0000-0000-0000-000000000000}"/>
  <bookViews>
    <workbookView xWindow="1770" yWindow="1770" windowWidth="28800" windowHeight="11295" activeTab="1" xr2:uid="{00000000-000D-0000-FFFF-FFFF00000000}"/>
  </bookViews>
  <sheets>
    <sheet name="Parcheggio" sheetId="1" r:id="rId1"/>
    <sheet name="Frutta" sheetId="2" r:id="rId2"/>
  </sheets>
  <definedNames>
    <definedName name="_xlnm._FilterDatabase" localSheetId="1" hidden="1">Frutta!$A$1:$O$47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I9" i="2"/>
  <c r="I10" i="2"/>
  <c r="I11" i="2"/>
  <c r="I12" i="2"/>
  <c r="I8" i="2"/>
  <c r="H9" i="2"/>
  <c r="H10" i="2"/>
  <c r="H11" i="2"/>
  <c r="H12" i="2"/>
  <c r="H8" i="2"/>
  <c r="J10" i="2" l="1"/>
  <c r="J12" i="2"/>
  <c r="J9" i="2"/>
  <c r="J11" i="2"/>
  <c r="J8" i="2"/>
</calcChain>
</file>

<file path=xl/sharedStrings.xml><?xml version="1.0" encoding="utf-8"?>
<sst xmlns="http://schemas.openxmlformats.org/spreadsheetml/2006/main" count="263" uniqueCount="134">
  <si>
    <t>TARGA</t>
  </si>
  <si>
    <t>ORE PARCHEGGIATE</t>
  </si>
  <si>
    <t>TIPOLOGIA VEICOLO</t>
  </si>
  <si>
    <t>COSTO</t>
  </si>
  <si>
    <t>AC234DF</t>
  </si>
  <si>
    <t>1.5</t>
  </si>
  <si>
    <t>LM789GH</t>
  </si>
  <si>
    <t>2.5</t>
  </si>
  <si>
    <t>PQ456IJ</t>
  </si>
  <si>
    <t>3.5</t>
  </si>
  <si>
    <t>UV123KL</t>
  </si>
  <si>
    <t>4.5</t>
  </si>
  <si>
    <t>WX789MN</t>
  </si>
  <si>
    <t>5.5</t>
  </si>
  <si>
    <t>YZ012OP</t>
  </si>
  <si>
    <t>6.5</t>
  </si>
  <si>
    <t>AB345QR</t>
  </si>
  <si>
    <t>7.5</t>
  </si>
  <si>
    <t>CD678ST</t>
  </si>
  <si>
    <t>8.5</t>
  </si>
  <si>
    <t>EF901UV</t>
  </si>
  <si>
    <t>9.5</t>
  </si>
  <si>
    <t>GH234WX</t>
  </si>
  <si>
    <t>10.0</t>
  </si>
  <si>
    <t>IJ567YZ</t>
  </si>
  <si>
    <t>0.5</t>
  </si>
  <si>
    <t>KL890AB</t>
  </si>
  <si>
    <t>1.0</t>
  </si>
  <si>
    <t>MN123CD</t>
  </si>
  <si>
    <t>2.0</t>
  </si>
  <si>
    <t>OP456EF</t>
  </si>
  <si>
    <t>3.0</t>
  </si>
  <si>
    <t>QR789GH</t>
  </si>
  <si>
    <t>4.0</t>
  </si>
  <si>
    <t>ST012IJ</t>
  </si>
  <si>
    <t>5.0</t>
  </si>
  <si>
    <t>UV345KL</t>
  </si>
  <si>
    <t>6.0</t>
  </si>
  <si>
    <t>WX678MN</t>
  </si>
  <si>
    <t>7.0</t>
  </si>
  <si>
    <t>YZ901OP</t>
  </si>
  <si>
    <t>8.0</t>
  </si>
  <si>
    <t>AB234QR</t>
  </si>
  <si>
    <t>9.0</t>
  </si>
  <si>
    <t>CD567ST</t>
  </si>
  <si>
    <t>EF890UV</t>
  </si>
  <si>
    <t>GH123WX</t>
  </si>
  <si>
    <t>IJ456YZ</t>
  </si>
  <si>
    <t>KL789AB</t>
  </si>
  <si>
    <t>MN012CD</t>
  </si>
  <si>
    <t>OP345EF</t>
  </si>
  <si>
    <t>QR678GH</t>
  </si>
  <si>
    <t>ST901IJ</t>
  </si>
  <si>
    <t>UV234KL</t>
  </si>
  <si>
    <t>WX567MN</t>
  </si>
  <si>
    <t>YZ890OP</t>
  </si>
  <si>
    <t>AB123QR</t>
  </si>
  <si>
    <t>CD456ST</t>
  </si>
  <si>
    <t>EF789UV</t>
  </si>
  <si>
    <t>GH012WX</t>
  </si>
  <si>
    <t>IJ345YZ</t>
  </si>
  <si>
    <t>KL678AB</t>
  </si>
  <si>
    <t>MN901CD</t>
  </si>
  <si>
    <t>OP234EF</t>
  </si>
  <si>
    <t>QR567GH</t>
  </si>
  <si>
    <t>ST890IJ</t>
  </si>
  <si>
    <t>WX456MN</t>
  </si>
  <si>
    <t>YZ789OP</t>
  </si>
  <si>
    <t>AB012QR</t>
  </si>
  <si>
    <t>CD345ST</t>
  </si>
  <si>
    <t>EF678UV</t>
  </si>
  <si>
    <t>GH901WX</t>
  </si>
  <si>
    <t>IJ234YZ</t>
  </si>
  <si>
    <t>KL567AB</t>
  </si>
  <si>
    <t>MN890CD</t>
  </si>
  <si>
    <t>OP123EF</t>
  </si>
  <si>
    <t>QR456GH</t>
  </si>
  <si>
    <t>ST789IJ</t>
  </si>
  <si>
    <t>UV012KL</t>
  </si>
  <si>
    <t>WX345MN</t>
  </si>
  <si>
    <t>YZ678OP</t>
  </si>
  <si>
    <t>AB901QR</t>
  </si>
  <si>
    <t>CD234ST</t>
  </si>
  <si>
    <t>EF567UV</t>
  </si>
  <si>
    <t>GH890WX</t>
  </si>
  <si>
    <t>IJ123YZ</t>
  </si>
  <si>
    <t>KL456AB</t>
  </si>
  <si>
    <t>MN789CD</t>
  </si>
  <si>
    <t>OP012EF</t>
  </si>
  <si>
    <t>QR345GH</t>
  </si>
  <si>
    <t>ST678IJ</t>
  </si>
  <si>
    <t>UV890KL</t>
  </si>
  <si>
    <t>WX123MN</t>
  </si>
  <si>
    <t>YZ456OP</t>
  </si>
  <si>
    <t>AB789QR</t>
  </si>
  <si>
    <t>CD012ST</t>
  </si>
  <si>
    <t>EF345UV</t>
  </si>
  <si>
    <t>GH678WX</t>
  </si>
  <si>
    <t>IJ901YZ</t>
  </si>
  <si>
    <t>KL234AB</t>
  </si>
  <si>
    <t>MN567CD</t>
  </si>
  <si>
    <t>OP890EF</t>
  </si>
  <si>
    <t>QR123GH</t>
  </si>
  <si>
    <t>ST456IJ</t>
  </si>
  <si>
    <t>UV789KL</t>
  </si>
  <si>
    <t>WX012MN</t>
  </si>
  <si>
    <t>YZ345OP</t>
  </si>
  <si>
    <t>AB678QR</t>
  </si>
  <si>
    <t>CD901ST</t>
  </si>
  <si>
    <t>EF234UV</t>
  </si>
  <si>
    <t>GH567WX</t>
  </si>
  <si>
    <t>IJ890YZ</t>
  </si>
  <si>
    <t>KL123AB</t>
  </si>
  <si>
    <t>MN456CD</t>
  </si>
  <si>
    <t>OP789EF</t>
  </si>
  <si>
    <t>QR012GH</t>
  </si>
  <si>
    <t>ST345IJ</t>
  </si>
  <si>
    <t>UV678KL</t>
  </si>
  <si>
    <t>WX901MN</t>
  </si>
  <si>
    <t>YZ234OP</t>
  </si>
  <si>
    <t>AB567QR</t>
  </si>
  <si>
    <t>CD890ST</t>
  </si>
  <si>
    <t>EF123UV</t>
  </si>
  <si>
    <t>FRUTTA</t>
  </si>
  <si>
    <t>PESO</t>
  </si>
  <si>
    <t>Mela</t>
  </si>
  <si>
    <t>Banana</t>
  </si>
  <si>
    <t>Arancia</t>
  </si>
  <si>
    <t>Pera</t>
  </si>
  <si>
    <t>Uva</t>
  </si>
  <si>
    <t>Peso tot</t>
  </si>
  <si>
    <t>Costo tot</t>
  </si>
  <si>
    <t>importo unitario</t>
  </si>
  <si>
    <t>PREZZO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</si>
</sst>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</numFmts>
  <fonts count="6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44" fontId="0" fillId="0" borderId="0" xfId="1" applyFont="1" applyAlignment="1"/>
    <xf numFmtId="0" fontId="0" fillId="0" borderId="1" xfId="0" applyBorder="1"/>
    <xf numFmtId="164" fontId="0" fillId="0" borderId="1" xfId="1" applyNumberFormat="1" applyFont="1" applyBorder="1" applyAlignment="1"/>
    <xf numFmtId="44" fontId="0" fillId="0" borderId="1" xfId="1" applyFont="1" applyBorder="1" applyAlignment="1"/>
    <xf numFmtId="0" fontId="0" fillId="2" borderId="1" xfId="0" applyFill="1" applyBorder="1"/>
    <xf numFmtId="0" fontId="4" fillId="0" borderId="0" xfId="0" applyFont="1"/>
    <xf numFmtId="44" fontId="5" fillId="0" borderId="0" xfId="1" applyFont="1"/>
  </cellXfs>
  <cellStyles count="2">
    <cellStyle name="Normale" xfId="0" builtinId="0"/>
    <cellStyle name="Valuta" xfId="1" builtinId="4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396833</xdr:colOff>
      <xdr:row>1</xdr:row>
      <xdr:rowOff>35779</xdr:rowOff>
    </xdr:from>
    <xdr:to>
      <xdr:col>12</xdr:col>
      <xdr:colOff>237062</xdr:colOff>
      <xdr:row>4</xdr:row>
      <xdr:rowOff>154782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33901DB7-4F3E-25BD-1473-CA56D7599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11896" y="238185"/>
          <a:ext cx="5007542" cy="61906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383E98-BB36-4716-B356-2D5D1C5C8C96}" name="Tabellafrutta" displayName="Tabellafrutta" ref="A1:D47" totalsRowShown="0" headerRowDxfId="5" dataDxfId="4">
  <autoFilter ref="A1:D47" xr:uid="{05383E98-BB36-4716-B356-2D5D1C5C8C96}"/>
  <tableColumns count="4">
    <tableColumn id="1" xr3:uid="{3765CEB3-950F-44D4-A628-A07820B2B022}" name="FRUTTA" dataDxfId="3"/>
    <tableColumn id="2" xr3:uid="{082D9301-AE6D-4194-961D-4B4CACB177DC}" name="PESO" dataDxfId="2"/>
    <tableColumn id="3" xr3:uid="{9C70AE90-18FD-4597-B09B-B1E9644DE832}" name="COSTO" dataDxfId="1"/>
    <tableColumn id="4" xr3:uid="{919ADC9F-9073-43A1-B87F-0A8A2AB2719F}" name="PREZZO" dataDxfId="0" dataCellStyle="Valuta">
      <calculatedColumnFormula>IFERROR(Tabellafrutta[[#This Row],[COSTO]]/Tabellafrutta[[#This Row],[PESO]],"0")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"/>
  <sheetViews>
    <sheetView workbookViewId="0"/>
  </sheetViews>
  <sheetFormatPr defaultColWidth="12.5703125" defaultRowHeight="15.75" customHeight="1" x14ac:dyDescent="0.2"/>
  <cols>
    <col min="2" max="2" width="25.42578125" customWidth="1"/>
    <col min="3" max="3" width="20.140625" customWidth="1"/>
    <col min="4" max="4" width="22.7109375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x14ac:dyDescent="0.2">
      <c r="A2" s="2" t="s">
        <v>4</v>
      </c>
      <c r="B2" s="2" t="s">
        <v>5</v>
      </c>
    </row>
    <row r="3" spans="1:26" ht="12.75" x14ac:dyDescent="0.2">
      <c r="A3" s="2" t="s">
        <v>6</v>
      </c>
      <c r="B3" s="2" t="s">
        <v>7</v>
      </c>
    </row>
    <row r="4" spans="1:26" ht="12.75" x14ac:dyDescent="0.2">
      <c r="A4" s="2" t="s">
        <v>8</v>
      </c>
      <c r="B4" s="2" t="s">
        <v>9</v>
      </c>
    </row>
    <row r="5" spans="1:26" ht="12.75" x14ac:dyDescent="0.2">
      <c r="A5" s="2" t="s">
        <v>10</v>
      </c>
      <c r="B5" s="2" t="s">
        <v>11</v>
      </c>
    </row>
    <row r="6" spans="1:26" ht="12.75" x14ac:dyDescent="0.2">
      <c r="A6" s="2" t="s">
        <v>12</v>
      </c>
      <c r="B6" s="2" t="s">
        <v>13</v>
      </c>
    </row>
    <row r="7" spans="1:26" ht="12.75" x14ac:dyDescent="0.2">
      <c r="A7" s="2" t="s">
        <v>14</v>
      </c>
      <c r="B7" s="2" t="s">
        <v>15</v>
      </c>
    </row>
    <row r="8" spans="1:26" ht="12.75" x14ac:dyDescent="0.2">
      <c r="A8" s="2" t="s">
        <v>16</v>
      </c>
      <c r="B8" s="2" t="s">
        <v>17</v>
      </c>
    </row>
    <row r="9" spans="1:26" ht="12.75" x14ac:dyDescent="0.2">
      <c r="A9" s="2" t="s">
        <v>18</v>
      </c>
      <c r="B9" s="2" t="s">
        <v>19</v>
      </c>
    </row>
    <row r="10" spans="1:26" ht="12.75" x14ac:dyDescent="0.2">
      <c r="A10" s="2" t="s">
        <v>20</v>
      </c>
      <c r="B10" s="2" t="s">
        <v>21</v>
      </c>
    </row>
    <row r="11" spans="1:26" ht="12.75" x14ac:dyDescent="0.2">
      <c r="A11" s="2" t="s">
        <v>22</v>
      </c>
      <c r="B11" s="2" t="s">
        <v>23</v>
      </c>
    </row>
    <row r="12" spans="1:26" ht="12.75" x14ac:dyDescent="0.2">
      <c r="A12" s="2" t="s">
        <v>24</v>
      </c>
      <c r="B12" s="2" t="s">
        <v>25</v>
      </c>
    </row>
    <row r="13" spans="1:26" ht="12.75" x14ac:dyDescent="0.2">
      <c r="A13" s="2" t="s">
        <v>26</v>
      </c>
      <c r="B13" s="2" t="s">
        <v>27</v>
      </c>
    </row>
    <row r="14" spans="1:26" ht="12.75" x14ac:dyDescent="0.2">
      <c r="A14" s="2" t="s">
        <v>28</v>
      </c>
      <c r="B14" s="2" t="s">
        <v>29</v>
      </c>
    </row>
    <row r="15" spans="1:26" ht="12.75" x14ac:dyDescent="0.2">
      <c r="A15" s="2" t="s">
        <v>30</v>
      </c>
      <c r="B15" s="2" t="s">
        <v>31</v>
      </c>
    </row>
    <row r="16" spans="1:26" ht="12.75" x14ac:dyDescent="0.2">
      <c r="A16" s="2" t="s">
        <v>32</v>
      </c>
      <c r="B16" s="2" t="s">
        <v>33</v>
      </c>
    </row>
    <row r="17" spans="1:2" ht="12.75" x14ac:dyDescent="0.2">
      <c r="A17" s="2" t="s">
        <v>34</v>
      </c>
      <c r="B17" s="2" t="s">
        <v>35</v>
      </c>
    </row>
    <row r="18" spans="1:2" ht="12.75" x14ac:dyDescent="0.2">
      <c r="A18" s="2" t="s">
        <v>36</v>
      </c>
      <c r="B18" s="2" t="s">
        <v>37</v>
      </c>
    </row>
    <row r="19" spans="1:2" ht="12.75" x14ac:dyDescent="0.2">
      <c r="A19" s="2" t="s">
        <v>38</v>
      </c>
      <c r="B19" s="2" t="s">
        <v>39</v>
      </c>
    </row>
    <row r="20" spans="1:2" ht="12.75" x14ac:dyDescent="0.2">
      <c r="A20" s="2" t="s">
        <v>40</v>
      </c>
      <c r="B20" s="2" t="s">
        <v>41</v>
      </c>
    </row>
    <row r="21" spans="1:2" ht="12.75" x14ac:dyDescent="0.2">
      <c r="A21" s="2" t="s">
        <v>42</v>
      </c>
      <c r="B21" s="2" t="s">
        <v>43</v>
      </c>
    </row>
    <row r="22" spans="1:2" ht="12.75" x14ac:dyDescent="0.2">
      <c r="A22" s="2" t="s">
        <v>44</v>
      </c>
      <c r="B22" s="2" t="s">
        <v>23</v>
      </c>
    </row>
    <row r="23" spans="1:2" ht="12.75" x14ac:dyDescent="0.2">
      <c r="A23" s="2" t="s">
        <v>45</v>
      </c>
      <c r="B23" s="2" t="s">
        <v>25</v>
      </c>
    </row>
    <row r="24" spans="1:2" ht="12.75" x14ac:dyDescent="0.2">
      <c r="A24" s="2" t="s">
        <v>46</v>
      </c>
      <c r="B24" s="2" t="s">
        <v>27</v>
      </c>
    </row>
    <row r="25" spans="1:2" ht="12.75" x14ac:dyDescent="0.2">
      <c r="A25" s="2" t="s">
        <v>47</v>
      </c>
      <c r="B25" s="2" t="s">
        <v>29</v>
      </c>
    </row>
    <row r="26" spans="1:2" ht="12.75" x14ac:dyDescent="0.2">
      <c r="A26" s="2" t="s">
        <v>48</v>
      </c>
      <c r="B26" s="2" t="s">
        <v>31</v>
      </c>
    </row>
    <row r="27" spans="1:2" ht="12.75" x14ac:dyDescent="0.2">
      <c r="A27" s="2" t="s">
        <v>49</v>
      </c>
      <c r="B27" s="2" t="s">
        <v>33</v>
      </c>
    </row>
    <row r="28" spans="1:2" ht="12.75" x14ac:dyDescent="0.2">
      <c r="A28" s="2" t="s">
        <v>50</v>
      </c>
      <c r="B28" s="2" t="s">
        <v>35</v>
      </c>
    </row>
    <row r="29" spans="1:2" ht="12.75" x14ac:dyDescent="0.2">
      <c r="A29" s="2" t="s">
        <v>51</v>
      </c>
      <c r="B29" s="2" t="s">
        <v>37</v>
      </c>
    </row>
    <row r="30" spans="1:2" ht="12.75" x14ac:dyDescent="0.2">
      <c r="A30" s="2" t="s">
        <v>52</v>
      </c>
      <c r="B30" s="2" t="s">
        <v>39</v>
      </c>
    </row>
    <row r="31" spans="1:2" ht="12.75" x14ac:dyDescent="0.2">
      <c r="A31" s="2" t="s">
        <v>53</v>
      </c>
      <c r="B31" s="2" t="s">
        <v>41</v>
      </c>
    </row>
    <row r="32" spans="1:2" ht="12.75" x14ac:dyDescent="0.2">
      <c r="A32" s="2" t="s">
        <v>54</v>
      </c>
      <c r="B32" s="2" t="s">
        <v>43</v>
      </c>
    </row>
    <row r="33" spans="1:2" ht="12.75" x14ac:dyDescent="0.2">
      <c r="A33" s="2" t="s">
        <v>55</v>
      </c>
      <c r="B33" s="2" t="s">
        <v>23</v>
      </c>
    </row>
    <row r="34" spans="1:2" ht="12.75" x14ac:dyDescent="0.2">
      <c r="A34" s="2" t="s">
        <v>56</v>
      </c>
      <c r="B34" s="2" t="s">
        <v>25</v>
      </c>
    </row>
    <row r="35" spans="1:2" ht="12.75" x14ac:dyDescent="0.2">
      <c r="A35" s="2" t="s">
        <v>57</v>
      </c>
      <c r="B35" s="2" t="s">
        <v>27</v>
      </c>
    </row>
    <row r="36" spans="1:2" ht="12.75" x14ac:dyDescent="0.2">
      <c r="A36" s="2" t="s">
        <v>58</v>
      </c>
      <c r="B36" s="2" t="s">
        <v>29</v>
      </c>
    </row>
    <row r="37" spans="1:2" ht="12.75" x14ac:dyDescent="0.2">
      <c r="A37" s="2" t="s">
        <v>59</v>
      </c>
      <c r="B37" s="2" t="s">
        <v>31</v>
      </c>
    </row>
    <row r="38" spans="1:2" ht="12.75" x14ac:dyDescent="0.2">
      <c r="A38" s="2" t="s">
        <v>60</v>
      </c>
      <c r="B38" s="2" t="s">
        <v>33</v>
      </c>
    </row>
    <row r="39" spans="1:2" ht="12.75" x14ac:dyDescent="0.2">
      <c r="A39" s="2" t="s">
        <v>61</v>
      </c>
      <c r="B39" s="2" t="s">
        <v>35</v>
      </c>
    </row>
    <row r="40" spans="1:2" ht="12.75" x14ac:dyDescent="0.2">
      <c r="A40" s="2" t="s">
        <v>62</v>
      </c>
      <c r="B40" s="2" t="s">
        <v>37</v>
      </c>
    </row>
    <row r="41" spans="1:2" ht="12.75" x14ac:dyDescent="0.2">
      <c r="A41" s="2" t="s">
        <v>63</v>
      </c>
      <c r="B41" s="2" t="s">
        <v>39</v>
      </c>
    </row>
    <row r="42" spans="1:2" ht="12.75" x14ac:dyDescent="0.2">
      <c r="A42" s="2" t="s">
        <v>64</v>
      </c>
      <c r="B42" s="2" t="s">
        <v>41</v>
      </c>
    </row>
    <row r="43" spans="1:2" ht="12.75" x14ac:dyDescent="0.2">
      <c r="A43" s="2" t="s">
        <v>65</v>
      </c>
      <c r="B43" s="2" t="s">
        <v>43</v>
      </c>
    </row>
    <row r="44" spans="1:2" ht="12.75" x14ac:dyDescent="0.2">
      <c r="A44" s="2" t="s">
        <v>10</v>
      </c>
      <c r="B44" s="2" t="s">
        <v>23</v>
      </c>
    </row>
    <row r="45" spans="1:2" ht="12.75" x14ac:dyDescent="0.2">
      <c r="A45" s="2" t="s">
        <v>66</v>
      </c>
      <c r="B45" s="2" t="s">
        <v>25</v>
      </c>
    </row>
    <row r="46" spans="1:2" ht="12.75" x14ac:dyDescent="0.2">
      <c r="A46" s="2" t="s">
        <v>67</v>
      </c>
      <c r="B46" s="2" t="s">
        <v>27</v>
      </c>
    </row>
    <row r="47" spans="1:2" ht="12.75" x14ac:dyDescent="0.2">
      <c r="A47" s="2" t="s">
        <v>68</v>
      </c>
      <c r="B47" s="2" t="s">
        <v>29</v>
      </c>
    </row>
    <row r="48" spans="1:2" ht="12.75" x14ac:dyDescent="0.2">
      <c r="A48" s="2" t="s">
        <v>69</v>
      </c>
      <c r="B48" s="2" t="s">
        <v>31</v>
      </c>
    </row>
    <row r="49" spans="1:2" ht="12.75" x14ac:dyDescent="0.2">
      <c r="A49" s="2" t="s">
        <v>70</v>
      </c>
      <c r="B49" s="2" t="s">
        <v>33</v>
      </c>
    </row>
    <row r="50" spans="1:2" ht="12.75" x14ac:dyDescent="0.2">
      <c r="A50" s="2" t="s">
        <v>71</v>
      </c>
      <c r="B50" s="2" t="s">
        <v>35</v>
      </c>
    </row>
    <row r="51" spans="1:2" ht="12.75" x14ac:dyDescent="0.2">
      <c r="A51" s="2" t="s">
        <v>72</v>
      </c>
      <c r="B51" s="2" t="s">
        <v>37</v>
      </c>
    </row>
    <row r="52" spans="1:2" ht="12.75" x14ac:dyDescent="0.2">
      <c r="A52" s="2" t="s">
        <v>73</v>
      </c>
      <c r="B52" s="2" t="s">
        <v>39</v>
      </c>
    </row>
    <row r="53" spans="1:2" ht="12.75" x14ac:dyDescent="0.2">
      <c r="A53" s="2" t="s">
        <v>74</v>
      </c>
      <c r="B53" s="2" t="s">
        <v>41</v>
      </c>
    </row>
    <row r="54" spans="1:2" ht="12.75" x14ac:dyDescent="0.2">
      <c r="A54" s="2" t="s">
        <v>75</v>
      </c>
      <c r="B54" s="2" t="s">
        <v>43</v>
      </c>
    </row>
    <row r="55" spans="1:2" ht="12.75" x14ac:dyDescent="0.2">
      <c r="A55" s="2" t="s">
        <v>76</v>
      </c>
      <c r="B55" s="2" t="s">
        <v>23</v>
      </c>
    </row>
    <row r="56" spans="1:2" ht="12.75" x14ac:dyDescent="0.2">
      <c r="A56" s="2" t="s">
        <v>77</v>
      </c>
      <c r="B56" s="2" t="s">
        <v>25</v>
      </c>
    </row>
    <row r="57" spans="1:2" ht="12.75" x14ac:dyDescent="0.2">
      <c r="A57" s="2" t="s">
        <v>78</v>
      </c>
      <c r="B57" s="2" t="s">
        <v>27</v>
      </c>
    </row>
    <row r="58" spans="1:2" ht="12.75" x14ac:dyDescent="0.2">
      <c r="A58" s="2" t="s">
        <v>79</v>
      </c>
      <c r="B58" s="2" t="s">
        <v>29</v>
      </c>
    </row>
    <row r="59" spans="1:2" ht="12.75" x14ac:dyDescent="0.2">
      <c r="A59" s="2" t="s">
        <v>80</v>
      </c>
      <c r="B59" s="2" t="s">
        <v>31</v>
      </c>
    </row>
    <row r="60" spans="1:2" ht="12.75" x14ac:dyDescent="0.2">
      <c r="A60" s="2" t="s">
        <v>81</v>
      </c>
      <c r="B60" s="2" t="s">
        <v>33</v>
      </c>
    </row>
    <row r="61" spans="1:2" ht="12.75" x14ac:dyDescent="0.2">
      <c r="A61" s="2" t="s">
        <v>82</v>
      </c>
      <c r="B61" s="2" t="s">
        <v>35</v>
      </c>
    </row>
    <row r="62" spans="1:2" ht="12.75" x14ac:dyDescent="0.2">
      <c r="A62" s="2" t="s">
        <v>83</v>
      </c>
      <c r="B62" s="2" t="s">
        <v>37</v>
      </c>
    </row>
    <row r="63" spans="1:2" ht="12.75" x14ac:dyDescent="0.2">
      <c r="A63" s="2" t="s">
        <v>84</v>
      </c>
      <c r="B63" s="2" t="s">
        <v>39</v>
      </c>
    </row>
    <row r="64" spans="1:2" ht="12.75" x14ac:dyDescent="0.2">
      <c r="A64" s="2" t="s">
        <v>85</v>
      </c>
      <c r="B64" s="2" t="s">
        <v>41</v>
      </c>
    </row>
    <row r="65" spans="1:2" ht="12.75" x14ac:dyDescent="0.2">
      <c r="A65" s="2" t="s">
        <v>86</v>
      </c>
      <c r="B65" s="2" t="s">
        <v>43</v>
      </c>
    </row>
    <row r="66" spans="1:2" ht="12.75" x14ac:dyDescent="0.2">
      <c r="A66" s="2" t="s">
        <v>87</v>
      </c>
      <c r="B66" s="2" t="s">
        <v>23</v>
      </c>
    </row>
    <row r="67" spans="1:2" ht="12.75" x14ac:dyDescent="0.2">
      <c r="A67" s="2" t="s">
        <v>88</v>
      </c>
      <c r="B67" s="2" t="s">
        <v>25</v>
      </c>
    </row>
    <row r="68" spans="1:2" ht="12.75" x14ac:dyDescent="0.2">
      <c r="A68" s="2" t="s">
        <v>89</v>
      </c>
      <c r="B68" s="2" t="s">
        <v>27</v>
      </c>
    </row>
    <row r="69" spans="1:2" ht="12.75" x14ac:dyDescent="0.2">
      <c r="A69" s="2" t="s">
        <v>90</v>
      </c>
      <c r="B69" s="2" t="s">
        <v>29</v>
      </c>
    </row>
    <row r="70" spans="1:2" ht="12.75" x14ac:dyDescent="0.2">
      <c r="A70" s="2" t="s">
        <v>91</v>
      </c>
      <c r="B70" s="2" t="s">
        <v>31</v>
      </c>
    </row>
    <row r="71" spans="1:2" ht="12.75" x14ac:dyDescent="0.2">
      <c r="A71" s="2" t="s">
        <v>92</v>
      </c>
      <c r="B71" s="2" t="s">
        <v>33</v>
      </c>
    </row>
    <row r="72" spans="1:2" ht="12.75" x14ac:dyDescent="0.2">
      <c r="A72" s="2" t="s">
        <v>93</v>
      </c>
      <c r="B72" s="2" t="s">
        <v>35</v>
      </c>
    </row>
    <row r="73" spans="1:2" ht="12.75" x14ac:dyDescent="0.2">
      <c r="A73" s="2" t="s">
        <v>94</v>
      </c>
      <c r="B73" s="2" t="s">
        <v>37</v>
      </c>
    </row>
    <row r="74" spans="1:2" ht="12.75" x14ac:dyDescent="0.2">
      <c r="A74" s="2" t="s">
        <v>95</v>
      </c>
      <c r="B74" s="2" t="s">
        <v>39</v>
      </c>
    </row>
    <row r="75" spans="1:2" ht="12.75" x14ac:dyDescent="0.2">
      <c r="A75" s="2" t="s">
        <v>96</v>
      </c>
      <c r="B75" s="2" t="s">
        <v>41</v>
      </c>
    </row>
    <row r="76" spans="1:2" ht="12.75" x14ac:dyDescent="0.2">
      <c r="A76" s="2" t="s">
        <v>97</v>
      </c>
      <c r="B76" s="2" t="s">
        <v>43</v>
      </c>
    </row>
    <row r="77" spans="1:2" ht="12.75" x14ac:dyDescent="0.2">
      <c r="A77" s="2" t="s">
        <v>98</v>
      </c>
      <c r="B77" s="2" t="s">
        <v>23</v>
      </c>
    </row>
    <row r="78" spans="1:2" ht="12.75" x14ac:dyDescent="0.2">
      <c r="A78" s="2" t="s">
        <v>99</v>
      </c>
      <c r="B78" s="2" t="s">
        <v>25</v>
      </c>
    </row>
    <row r="79" spans="1:2" ht="12.75" x14ac:dyDescent="0.2">
      <c r="A79" s="2" t="s">
        <v>100</v>
      </c>
      <c r="B79" s="2" t="s">
        <v>27</v>
      </c>
    </row>
    <row r="80" spans="1:2" ht="12.75" x14ac:dyDescent="0.2">
      <c r="A80" s="2" t="s">
        <v>101</v>
      </c>
      <c r="B80" s="2" t="s">
        <v>29</v>
      </c>
    </row>
    <row r="81" spans="1:2" ht="12.75" x14ac:dyDescent="0.2">
      <c r="A81" s="2" t="s">
        <v>102</v>
      </c>
      <c r="B81" s="2" t="s">
        <v>31</v>
      </c>
    </row>
    <row r="82" spans="1:2" ht="12.75" x14ac:dyDescent="0.2">
      <c r="A82" s="2" t="s">
        <v>103</v>
      </c>
      <c r="B82" s="2" t="s">
        <v>33</v>
      </c>
    </row>
    <row r="83" spans="1:2" ht="12.75" x14ac:dyDescent="0.2">
      <c r="A83" s="2" t="s">
        <v>104</v>
      </c>
      <c r="B83" s="2" t="s">
        <v>35</v>
      </c>
    </row>
    <row r="84" spans="1:2" ht="12.75" x14ac:dyDescent="0.2">
      <c r="A84" s="2" t="s">
        <v>105</v>
      </c>
      <c r="B84" s="2" t="s">
        <v>37</v>
      </c>
    </row>
    <row r="85" spans="1:2" ht="12.75" x14ac:dyDescent="0.2">
      <c r="A85" s="2" t="s">
        <v>106</v>
      </c>
      <c r="B85" s="2" t="s">
        <v>39</v>
      </c>
    </row>
    <row r="86" spans="1:2" ht="12.75" x14ac:dyDescent="0.2">
      <c r="A86" s="2" t="s">
        <v>107</v>
      </c>
      <c r="B86" s="2" t="s">
        <v>41</v>
      </c>
    </row>
    <row r="87" spans="1:2" ht="12.75" x14ac:dyDescent="0.2">
      <c r="A87" s="2" t="s">
        <v>108</v>
      </c>
      <c r="B87" s="2" t="s">
        <v>43</v>
      </c>
    </row>
    <row r="88" spans="1:2" ht="12.75" x14ac:dyDescent="0.2">
      <c r="A88" s="2" t="s">
        <v>109</v>
      </c>
      <c r="B88" s="2" t="s">
        <v>23</v>
      </c>
    </row>
    <row r="89" spans="1:2" ht="12.75" x14ac:dyDescent="0.2">
      <c r="A89" s="2" t="s">
        <v>110</v>
      </c>
      <c r="B89" s="2" t="s">
        <v>25</v>
      </c>
    </row>
    <row r="90" spans="1:2" ht="12.75" x14ac:dyDescent="0.2">
      <c r="A90" s="2" t="s">
        <v>111</v>
      </c>
      <c r="B90" s="2" t="s">
        <v>27</v>
      </c>
    </row>
    <row r="91" spans="1:2" ht="12.75" x14ac:dyDescent="0.2">
      <c r="A91" s="2" t="s">
        <v>112</v>
      </c>
      <c r="B91" s="2" t="s">
        <v>29</v>
      </c>
    </row>
    <row r="92" spans="1:2" ht="12.75" x14ac:dyDescent="0.2">
      <c r="A92" s="2" t="s">
        <v>113</v>
      </c>
      <c r="B92" s="2" t="s">
        <v>31</v>
      </c>
    </row>
    <row r="93" spans="1:2" ht="12.75" x14ac:dyDescent="0.2">
      <c r="A93" s="2" t="s">
        <v>114</v>
      </c>
      <c r="B93" s="2" t="s">
        <v>33</v>
      </c>
    </row>
    <row r="94" spans="1:2" ht="12.75" x14ac:dyDescent="0.2">
      <c r="A94" s="2" t="s">
        <v>115</v>
      </c>
      <c r="B94" s="2" t="s">
        <v>35</v>
      </c>
    </row>
    <row r="95" spans="1:2" ht="12.75" x14ac:dyDescent="0.2">
      <c r="A95" s="2" t="s">
        <v>116</v>
      </c>
      <c r="B95" s="2" t="s">
        <v>37</v>
      </c>
    </row>
    <row r="96" spans="1:2" ht="12.75" x14ac:dyDescent="0.2">
      <c r="A96" s="2" t="s">
        <v>117</v>
      </c>
      <c r="B96" s="2" t="s">
        <v>39</v>
      </c>
    </row>
    <row r="97" spans="1:2" ht="12.75" x14ac:dyDescent="0.2">
      <c r="A97" s="2" t="s">
        <v>118</v>
      </c>
      <c r="B97" s="2" t="s">
        <v>41</v>
      </c>
    </row>
    <row r="98" spans="1:2" ht="12.75" x14ac:dyDescent="0.2">
      <c r="A98" s="2" t="s">
        <v>119</v>
      </c>
      <c r="B98" s="2" t="s">
        <v>43</v>
      </c>
    </row>
    <row r="99" spans="1:2" ht="12.75" x14ac:dyDescent="0.2">
      <c r="A99" s="2" t="s">
        <v>120</v>
      </c>
      <c r="B99" s="2" t="s">
        <v>23</v>
      </c>
    </row>
    <row r="100" spans="1:2" ht="12.75" x14ac:dyDescent="0.2">
      <c r="A100" s="2" t="s">
        <v>121</v>
      </c>
      <c r="B100" s="2" t="s">
        <v>25</v>
      </c>
    </row>
    <row r="101" spans="1:2" ht="12.75" x14ac:dyDescent="0.2">
      <c r="A101" s="2" t="s">
        <v>122</v>
      </c>
      <c r="B101" s="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47"/>
  <sheetViews>
    <sheetView tabSelected="1" zoomScale="80" zoomScaleNormal="80" workbookViewId="0">
      <selection activeCell="J19" sqref="J19"/>
    </sheetView>
  </sheetViews>
  <sheetFormatPr defaultColWidth="12.5703125" defaultRowHeight="15.75" customHeight="1" x14ac:dyDescent="0.2"/>
  <cols>
    <col min="2" max="2" width="25.42578125" customWidth="1"/>
    <col min="3" max="3" width="20.140625" customWidth="1"/>
    <col min="7" max="7" width="8.42578125" bestFit="1" customWidth="1"/>
    <col min="8" max="8" width="8.140625" bestFit="1" customWidth="1"/>
    <col min="9" max="9" width="8.85546875" bestFit="1" customWidth="1"/>
    <col min="10" max="10" width="14.42578125" bestFit="1" customWidth="1"/>
    <col min="15" max="15" width="22.7109375" customWidth="1"/>
  </cols>
  <sheetData>
    <row r="1" spans="1:26" ht="15.75" customHeight="1" x14ac:dyDescent="0.25">
      <c r="A1" s="1" t="s">
        <v>123</v>
      </c>
      <c r="B1" s="1" t="s">
        <v>124</v>
      </c>
      <c r="C1" s="1" t="s">
        <v>3</v>
      </c>
      <c r="D1" s="8" t="s">
        <v>133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x14ac:dyDescent="0.2">
      <c r="A2" s="2" t="s">
        <v>125</v>
      </c>
      <c r="B2" s="2">
        <v>55</v>
      </c>
      <c r="D2" s="9">
        <f>IFERROR(Tabellafrutta[[#This Row],[COSTO]]/Tabellafrutta[[#This Row],[PESO]],"0")</f>
        <v>0</v>
      </c>
      <c r="O2" s="3"/>
    </row>
    <row r="3" spans="1:26" ht="12.75" x14ac:dyDescent="0.2">
      <c r="A3" s="2" t="s">
        <v>126</v>
      </c>
      <c r="B3" s="2">
        <v>70</v>
      </c>
      <c r="C3" s="2">
        <v>80</v>
      </c>
      <c r="D3" s="9">
        <f>IFERROR(Tabellafrutta[[#This Row],[COSTO]]/Tabellafrutta[[#This Row],[PESO]],"0")</f>
        <v>1.1428571428571428</v>
      </c>
      <c r="O3" s="3"/>
    </row>
    <row r="4" spans="1:26" ht="12.75" x14ac:dyDescent="0.2">
      <c r="A4" s="2" t="s">
        <v>127</v>
      </c>
      <c r="B4" s="2">
        <v>40</v>
      </c>
      <c r="C4" s="2">
        <v>60</v>
      </c>
      <c r="D4" s="9">
        <f>IFERROR(Tabellafrutta[[#This Row],[COSTO]]/Tabellafrutta[[#This Row],[PESO]],"0")</f>
        <v>1.5</v>
      </c>
      <c r="O4" s="3"/>
    </row>
    <row r="5" spans="1:26" ht="12.75" x14ac:dyDescent="0.2">
      <c r="A5" s="2" t="s">
        <v>125</v>
      </c>
      <c r="B5" s="2">
        <v>20</v>
      </c>
      <c r="C5" s="2">
        <v>100</v>
      </c>
      <c r="D5" s="9">
        <f>IFERROR(Tabellafrutta[[#This Row],[COSTO]]/Tabellafrutta[[#This Row],[PESO]],"0")</f>
        <v>5</v>
      </c>
      <c r="O5" s="3"/>
    </row>
    <row r="6" spans="1:26" ht="12.75" x14ac:dyDescent="0.2">
      <c r="A6" s="2" t="s">
        <v>128</v>
      </c>
      <c r="B6" s="2">
        <v>90</v>
      </c>
      <c r="C6" s="2">
        <v>30</v>
      </c>
      <c r="D6" s="9">
        <f>IFERROR(Tabellafrutta[[#This Row],[COSTO]]/Tabellafrutta[[#This Row],[PESO]],"0")</f>
        <v>0.33333333333333331</v>
      </c>
      <c r="O6" s="3"/>
    </row>
    <row r="7" spans="1:26" ht="12.75" x14ac:dyDescent="0.2">
      <c r="A7" s="2" t="s">
        <v>126</v>
      </c>
      <c r="B7" s="2">
        <v>50</v>
      </c>
      <c r="C7" s="2">
        <v>40</v>
      </c>
      <c r="D7" s="9">
        <f>IFERROR(Tabellafrutta[[#This Row],[COSTO]]/Tabellafrutta[[#This Row],[PESO]],"0")</f>
        <v>0.8</v>
      </c>
      <c r="G7" s="7" t="s">
        <v>123</v>
      </c>
      <c r="H7" s="7" t="s">
        <v>130</v>
      </c>
      <c r="I7" s="7" t="s">
        <v>131</v>
      </c>
      <c r="J7" s="7" t="s">
        <v>132</v>
      </c>
      <c r="O7" s="3"/>
    </row>
    <row r="8" spans="1:26" ht="12.75" x14ac:dyDescent="0.2">
      <c r="A8" s="2" t="s">
        <v>127</v>
      </c>
      <c r="B8" s="2">
        <v>60</v>
      </c>
      <c r="C8" s="2">
        <v>55</v>
      </c>
      <c r="D8" s="9">
        <f>IFERROR(Tabellafrutta[[#This Row],[COSTO]]/Tabellafrutta[[#This Row],[PESO]],"0")</f>
        <v>0.91666666666666663</v>
      </c>
      <c r="G8" s="4" t="s">
        <v>127</v>
      </c>
      <c r="H8" s="4">
        <f>SUMIFS(Tabellafrutta[PESO],Tabellafrutta[FRUTTA],$G8)</f>
        <v>555</v>
      </c>
      <c r="I8" s="5">
        <f>SUMIFS(Tabellafrutta[COSTO],Tabellafrutta[FRUTTA],$G8)</f>
        <v>495</v>
      </c>
      <c r="J8" s="6">
        <f>I8/H8</f>
        <v>0.89189189189189189</v>
      </c>
      <c r="O8" s="3"/>
    </row>
    <row r="9" spans="1:26" ht="12.75" x14ac:dyDescent="0.2">
      <c r="A9" s="2" t="s">
        <v>125</v>
      </c>
      <c r="B9" s="2">
        <v>45</v>
      </c>
      <c r="D9" s="9">
        <f>IFERROR(Tabellafrutta[[#This Row],[COSTO]]/Tabellafrutta[[#This Row],[PESO]],"0")</f>
        <v>0</v>
      </c>
      <c r="G9" s="4" t="s">
        <v>126</v>
      </c>
      <c r="H9" s="4">
        <f>SUMIFS(Tabellafrutta[PESO],Tabellafrutta[FRUTTA],$G9)</f>
        <v>755</v>
      </c>
      <c r="I9" s="5">
        <f>SUMIFS(Tabellafrutta[COSTO],Tabellafrutta[FRUTTA],$G9)</f>
        <v>815</v>
      </c>
      <c r="J9" s="6">
        <f t="shared" ref="J9:J12" si="0">I9/H9</f>
        <v>1.0794701986754967</v>
      </c>
      <c r="O9" s="3"/>
    </row>
    <row r="10" spans="1:26" ht="12.75" x14ac:dyDescent="0.2">
      <c r="A10" s="2" t="s">
        <v>126</v>
      </c>
      <c r="B10" s="2">
        <v>25</v>
      </c>
      <c r="C10" s="2">
        <v>85</v>
      </c>
      <c r="D10" s="9">
        <f>IFERROR(Tabellafrutta[[#This Row],[COSTO]]/Tabellafrutta[[#This Row],[PESO]],"0")</f>
        <v>3.4</v>
      </c>
      <c r="G10" s="4" t="s">
        <v>125</v>
      </c>
      <c r="H10" s="4">
        <f>SUMIFS(Tabellafrutta[PESO],Tabellafrutta[FRUTTA],$G10)</f>
        <v>525</v>
      </c>
      <c r="I10" s="5">
        <f>SUMIFS(Tabellafrutta[COSTO],Tabellafrutta[FRUTTA],$G10)</f>
        <v>555</v>
      </c>
      <c r="J10" s="6">
        <f t="shared" si="0"/>
        <v>1.0571428571428572</v>
      </c>
      <c r="O10" s="3"/>
    </row>
    <row r="11" spans="1:26" ht="12.75" x14ac:dyDescent="0.2">
      <c r="A11" s="2" t="s">
        <v>128</v>
      </c>
      <c r="B11" s="2">
        <v>35</v>
      </c>
      <c r="C11" s="2">
        <v>50</v>
      </c>
      <c r="D11" s="9">
        <f>IFERROR(Tabellafrutta[[#This Row],[COSTO]]/Tabellafrutta[[#This Row],[PESO]],"0")</f>
        <v>1.4285714285714286</v>
      </c>
      <c r="G11" s="4" t="s">
        <v>128</v>
      </c>
      <c r="H11" s="4">
        <f>SUMIFS(Tabellafrutta[PESO],Tabellafrutta[FRUTTA],$G11)</f>
        <v>380</v>
      </c>
      <c r="I11" s="5">
        <f>SUMIFS(Tabellafrutta[COSTO],Tabellafrutta[FRUTTA],$G11)</f>
        <v>225</v>
      </c>
      <c r="J11" s="6">
        <f t="shared" si="0"/>
        <v>0.59210526315789469</v>
      </c>
      <c r="O11" s="3"/>
    </row>
    <row r="12" spans="1:26" ht="12.75" x14ac:dyDescent="0.2">
      <c r="A12" s="2" t="s">
        <v>129</v>
      </c>
      <c r="B12" s="2">
        <v>60</v>
      </c>
      <c r="C12" s="2">
        <v>95</v>
      </c>
      <c r="D12" s="9">
        <f>IFERROR(Tabellafrutta[[#This Row],[COSTO]]/Tabellafrutta[[#This Row],[PESO]],"0")</f>
        <v>1.5833333333333333</v>
      </c>
      <c r="G12" s="4" t="s">
        <v>129</v>
      </c>
      <c r="H12" s="4">
        <f>SUMIFS(Tabellafrutta[PESO],Tabellafrutta[FRUTTA],$G12)</f>
        <v>160</v>
      </c>
      <c r="I12" s="5">
        <f>SUMIFS(Tabellafrutta[COSTO],Tabellafrutta[FRUTTA],$G12)</f>
        <v>150</v>
      </c>
      <c r="J12" s="6">
        <f t="shared" si="0"/>
        <v>0.9375</v>
      </c>
      <c r="O12" s="3"/>
    </row>
    <row r="13" spans="1:26" ht="12.75" x14ac:dyDescent="0.2">
      <c r="A13" s="2" t="s">
        <v>127</v>
      </c>
      <c r="B13" s="2">
        <v>80</v>
      </c>
      <c r="D13" s="9">
        <f>IFERROR(Tabellafrutta[[#This Row],[COSTO]]/Tabellafrutta[[#This Row],[PESO]],"0")</f>
        <v>0</v>
      </c>
      <c r="O13" s="3"/>
    </row>
    <row r="14" spans="1:26" ht="12.75" x14ac:dyDescent="0.2">
      <c r="A14" s="2" t="s">
        <v>126</v>
      </c>
      <c r="B14" s="2">
        <v>40</v>
      </c>
      <c r="C14" s="2">
        <v>45</v>
      </c>
      <c r="D14" s="9">
        <f>IFERROR(Tabellafrutta[[#This Row],[COSTO]]/Tabellafrutta[[#This Row],[PESO]],"0")</f>
        <v>1.125</v>
      </c>
      <c r="O14" s="3"/>
    </row>
    <row r="15" spans="1:26" ht="12.75" x14ac:dyDescent="0.2">
      <c r="A15" s="2" t="s">
        <v>125</v>
      </c>
      <c r="B15" s="2">
        <v>65</v>
      </c>
      <c r="C15" s="2">
        <v>65</v>
      </c>
      <c r="D15" s="9">
        <f>IFERROR(Tabellafrutta[[#This Row],[COSTO]]/Tabellafrutta[[#This Row],[PESO]],"0")</f>
        <v>1</v>
      </c>
      <c r="O15" s="3"/>
    </row>
    <row r="16" spans="1:26" ht="12.75" x14ac:dyDescent="0.2">
      <c r="A16" s="2" t="s">
        <v>127</v>
      </c>
      <c r="B16" s="2">
        <v>55</v>
      </c>
      <c r="C16" s="2">
        <v>30</v>
      </c>
      <c r="D16" s="9">
        <f>IFERROR(Tabellafrutta[[#This Row],[COSTO]]/Tabellafrutta[[#This Row],[PESO]],"0")</f>
        <v>0.54545454545454541</v>
      </c>
      <c r="O16" s="3"/>
    </row>
    <row r="17" spans="1:15" ht="12.75" x14ac:dyDescent="0.2">
      <c r="A17" s="2" t="s">
        <v>128</v>
      </c>
      <c r="B17" s="2">
        <v>70</v>
      </c>
      <c r="D17" s="9">
        <f>IFERROR(Tabellafrutta[[#This Row],[COSTO]]/Tabellafrutta[[#This Row],[PESO]],"0")</f>
        <v>0</v>
      </c>
      <c r="O17" s="3"/>
    </row>
    <row r="18" spans="1:15" ht="12.75" x14ac:dyDescent="0.2">
      <c r="A18" s="2" t="s">
        <v>126</v>
      </c>
      <c r="B18" s="2">
        <v>45</v>
      </c>
      <c r="C18" s="2">
        <v>80</v>
      </c>
      <c r="D18" s="9">
        <f>IFERROR(Tabellafrutta[[#This Row],[COSTO]]/Tabellafrutta[[#This Row],[PESO]],"0")</f>
        <v>1.7777777777777777</v>
      </c>
      <c r="O18" s="3"/>
    </row>
    <row r="19" spans="1:15" ht="12.75" x14ac:dyDescent="0.2">
      <c r="A19" s="2" t="s">
        <v>125</v>
      </c>
      <c r="B19" s="2">
        <v>25</v>
      </c>
      <c r="C19" s="2">
        <v>60</v>
      </c>
      <c r="D19" s="9">
        <f>IFERROR(Tabellafrutta[[#This Row],[COSTO]]/Tabellafrutta[[#This Row],[PESO]],"0")</f>
        <v>2.4</v>
      </c>
      <c r="O19" s="3"/>
    </row>
    <row r="20" spans="1:15" ht="12.75" x14ac:dyDescent="0.2">
      <c r="A20" s="2" t="s">
        <v>126</v>
      </c>
      <c r="B20" s="2">
        <v>35</v>
      </c>
      <c r="D20" s="9">
        <f>IFERROR(Tabellafrutta[[#This Row],[COSTO]]/Tabellafrutta[[#This Row],[PESO]],"0")</f>
        <v>0</v>
      </c>
      <c r="O20" s="3"/>
    </row>
    <row r="21" spans="1:15" ht="12.75" x14ac:dyDescent="0.2">
      <c r="A21" s="2" t="s">
        <v>127</v>
      </c>
      <c r="B21" s="2">
        <v>60</v>
      </c>
      <c r="C21" s="2">
        <v>30</v>
      </c>
      <c r="D21" s="9">
        <f>IFERROR(Tabellafrutta[[#This Row],[COSTO]]/Tabellafrutta[[#This Row],[PESO]],"0")</f>
        <v>0.5</v>
      </c>
      <c r="O21" s="3"/>
    </row>
    <row r="22" spans="1:15" ht="12.75" x14ac:dyDescent="0.2">
      <c r="A22" s="2" t="s">
        <v>125</v>
      </c>
      <c r="B22" s="2">
        <v>70</v>
      </c>
      <c r="C22" s="2">
        <v>40</v>
      </c>
      <c r="D22" s="9">
        <f>IFERROR(Tabellafrutta[[#This Row],[COSTO]]/Tabellafrutta[[#This Row],[PESO]],"0")</f>
        <v>0.5714285714285714</v>
      </c>
      <c r="O22" s="3"/>
    </row>
    <row r="23" spans="1:15" ht="12.75" x14ac:dyDescent="0.2">
      <c r="A23" s="2" t="s">
        <v>126</v>
      </c>
      <c r="B23" s="2">
        <v>45</v>
      </c>
      <c r="C23" s="2">
        <v>55</v>
      </c>
      <c r="D23" s="9">
        <f>IFERROR(Tabellafrutta[[#This Row],[COSTO]]/Tabellafrutta[[#This Row],[PESO]],"0")</f>
        <v>1.2222222222222223</v>
      </c>
      <c r="O23" s="3"/>
    </row>
    <row r="24" spans="1:15" ht="12.75" x14ac:dyDescent="0.2">
      <c r="A24" s="2" t="s">
        <v>128</v>
      </c>
      <c r="B24" s="2">
        <v>25</v>
      </c>
      <c r="C24" s="2">
        <v>70</v>
      </c>
      <c r="D24" s="9">
        <f>IFERROR(Tabellafrutta[[#This Row],[COSTO]]/Tabellafrutta[[#This Row],[PESO]],"0")</f>
        <v>2.8</v>
      </c>
      <c r="O24" s="3"/>
    </row>
    <row r="25" spans="1:15" ht="12.75" x14ac:dyDescent="0.2">
      <c r="A25" s="2" t="s">
        <v>129</v>
      </c>
      <c r="B25" s="2">
        <v>35</v>
      </c>
      <c r="D25" s="9">
        <f>IFERROR(Tabellafrutta[[#This Row],[COSTO]]/Tabellafrutta[[#This Row],[PESO]],"0")</f>
        <v>0</v>
      </c>
      <c r="O25" s="3"/>
    </row>
    <row r="26" spans="1:15" ht="12.75" x14ac:dyDescent="0.2">
      <c r="A26" s="2" t="s">
        <v>127</v>
      </c>
      <c r="B26" s="2">
        <v>60</v>
      </c>
      <c r="C26" s="2">
        <v>50</v>
      </c>
      <c r="D26" s="9">
        <f>IFERROR(Tabellafrutta[[#This Row],[COSTO]]/Tabellafrutta[[#This Row],[PESO]],"0")</f>
        <v>0.83333333333333337</v>
      </c>
      <c r="O26" s="3"/>
    </row>
    <row r="27" spans="1:15" ht="12.75" x14ac:dyDescent="0.2">
      <c r="A27" s="2" t="s">
        <v>126</v>
      </c>
      <c r="B27" s="2">
        <v>80</v>
      </c>
      <c r="C27" s="2">
        <v>95</v>
      </c>
      <c r="D27" s="9">
        <f>IFERROR(Tabellafrutta[[#This Row],[COSTO]]/Tabellafrutta[[#This Row],[PESO]],"0")</f>
        <v>1.1875</v>
      </c>
      <c r="O27" s="3"/>
    </row>
    <row r="28" spans="1:15" ht="12.75" x14ac:dyDescent="0.2">
      <c r="A28" s="2" t="s">
        <v>125</v>
      </c>
      <c r="B28" s="2">
        <v>40</v>
      </c>
      <c r="C28" s="2">
        <v>75</v>
      </c>
      <c r="D28" s="9">
        <f>IFERROR(Tabellafrutta[[#This Row],[COSTO]]/Tabellafrutta[[#This Row],[PESO]],"0")</f>
        <v>1.875</v>
      </c>
      <c r="O28" s="3"/>
    </row>
    <row r="29" spans="1:15" ht="12.75" x14ac:dyDescent="0.2">
      <c r="A29" s="2" t="s">
        <v>127</v>
      </c>
      <c r="B29" s="2">
        <v>65</v>
      </c>
      <c r="C29" s="2">
        <v>45</v>
      </c>
      <c r="D29" s="9">
        <f>IFERROR(Tabellafrutta[[#This Row],[COSTO]]/Tabellafrutta[[#This Row],[PESO]],"0")</f>
        <v>0.69230769230769229</v>
      </c>
      <c r="O29" s="3"/>
    </row>
    <row r="30" spans="1:15" ht="12.75" x14ac:dyDescent="0.2">
      <c r="A30" s="2" t="s">
        <v>126</v>
      </c>
      <c r="B30" s="2">
        <v>55</v>
      </c>
      <c r="C30" s="2">
        <v>65</v>
      </c>
      <c r="D30" s="9">
        <f>IFERROR(Tabellafrutta[[#This Row],[COSTO]]/Tabellafrutta[[#This Row],[PESO]],"0")</f>
        <v>1.1818181818181819</v>
      </c>
      <c r="O30" s="3"/>
    </row>
    <row r="31" spans="1:15" ht="12.75" x14ac:dyDescent="0.2">
      <c r="A31" s="2" t="s">
        <v>128</v>
      </c>
      <c r="B31" s="2">
        <v>70</v>
      </c>
      <c r="C31" s="2">
        <v>30</v>
      </c>
      <c r="D31" s="9">
        <f>IFERROR(Tabellafrutta[[#This Row],[COSTO]]/Tabellafrutta[[#This Row],[PESO]],"0")</f>
        <v>0.42857142857142855</v>
      </c>
      <c r="O31" s="3"/>
    </row>
    <row r="32" spans="1:15" ht="12.75" x14ac:dyDescent="0.2">
      <c r="A32" s="2" t="s">
        <v>125</v>
      </c>
      <c r="B32" s="2">
        <v>45</v>
      </c>
      <c r="D32" s="9">
        <f>IFERROR(Tabellafrutta[[#This Row],[COSTO]]/Tabellafrutta[[#This Row],[PESO]],"0")</f>
        <v>0</v>
      </c>
      <c r="O32" s="3"/>
    </row>
    <row r="33" spans="1:15" ht="12.75" x14ac:dyDescent="0.2">
      <c r="A33" s="2" t="s">
        <v>126</v>
      </c>
      <c r="B33" s="2">
        <v>25</v>
      </c>
      <c r="C33" s="2">
        <v>80</v>
      </c>
      <c r="D33" s="9">
        <f>IFERROR(Tabellafrutta[[#This Row],[COSTO]]/Tabellafrutta[[#This Row],[PESO]],"0")</f>
        <v>3.2</v>
      </c>
      <c r="O33" s="3"/>
    </row>
    <row r="34" spans="1:15" ht="12.75" x14ac:dyDescent="0.2">
      <c r="A34" s="2" t="s">
        <v>127</v>
      </c>
      <c r="B34" s="2">
        <v>35</v>
      </c>
      <c r="C34" s="2">
        <v>60</v>
      </c>
      <c r="D34" s="9">
        <f>IFERROR(Tabellafrutta[[#This Row],[COSTO]]/Tabellafrutta[[#This Row],[PESO]],"0")</f>
        <v>1.7142857142857142</v>
      </c>
      <c r="O34" s="3"/>
    </row>
    <row r="35" spans="1:15" ht="12.75" x14ac:dyDescent="0.2">
      <c r="A35" s="2" t="s">
        <v>125</v>
      </c>
      <c r="B35" s="2">
        <v>60</v>
      </c>
      <c r="C35" s="2">
        <v>100</v>
      </c>
      <c r="D35" s="9">
        <f>IFERROR(Tabellafrutta[[#This Row],[COSTO]]/Tabellafrutta[[#This Row],[PESO]],"0")</f>
        <v>1.6666666666666667</v>
      </c>
      <c r="O35" s="3"/>
    </row>
    <row r="36" spans="1:15" ht="12.75" x14ac:dyDescent="0.2">
      <c r="A36" s="2" t="s">
        <v>126</v>
      </c>
      <c r="B36" s="2">
        <v>80</v>
      </c>
      <c r="C36" s="2">
        <v>30</v>
      </c>
      <c r="D36" s="9">
        <f>IFERROR(Tabellafrutta[[#This Row],[COSTO]]/Tabellafrutta[[#This Row],[PESO]],"0")</f>
        <v>0.375</v>
      </c>
      <c r="O36" s="3"/>
    </row>
    <row r="37" spans="1:15" ht="12.75" x14ac:dyDescent="0.2">
      <c r="A37" s="2" t="s">
        <v>128</v>
      </c>
      <c r="B37" s="2">
        <v>40</v>
      </c>
      <c r="D37" s="9">
        <f>IFERROR(Tabellafrutta[[#This Row],[COSTO]]/Tabellafrutta[[#This Row],[PESO]],"0")</f>
        <v>0</v>
      </c>
      <c r="O37" s="3"/>
    </row>
    <row r="38" spans="1:15" ht="12.75" x14ac:dyDescent="0.2">
      <c r="A38" s="2" t="s">
        <v>129</v>
      </c>
      <c r="B38" s="2">
        <v>65</v>
      </c>
      <c r="C38" s="2">
        <v>55</v>
      </c>
      <c r="D38" s="9">
        <f>IFERROR(Tabellafrutta[[#This Row],[COSTO]]/Tabellafrutta[[#This Row],[PESO]],"0")</f>
        <v>0.84615384615384615</v>
      </c>
      <c r="O38" s="3"/>
    </row>
    <row r="39" spans="1:15" ht="12.75" x14ac:dyDescent="0.2">
      <c r="A39" s="2" t="s">
        <v>127</v>
      </c>
      <c r="B39" s="2">
        <v>55</v>
      </c>
      <c r="C39" s="2">
        <v>70</v>
      </c>
      <c r="D39" s="9">
        <f>IFERROR(Tabellafrutta[[#This Row],[COSTO]]/Tabellafrutta[[#This Row],[PESO]],"0")</f>
        <v>1.2727272727272727</v>
      </c>
      <c r="O39" s="3"/>
    </row>
    <row r="40" spans="1:15" ht="12.75" x14ac:dyDescent="0.2">
      <c r="A40" s="2" t="s">
        <v>126</v>
      </c>
      <c r="B40" s="2">
        <v>70</v>
      </c>
      <c r="C40" s="2">
        <v>85</v>
      </c>
      <c r="D40" s="9">
        <f>IFERROR(Tabellafrutta[[#This Row],[COSTO]]/Tabellafrutta[[#This Row],[PESO]],"0")</f>
        <v>1.2142857142857142</v>
      </c>
      <c r="O40" s="3"/>
    </row>
    <row r="41" spans="1:15" ht="12.75" x14ac:dyDescent="0.2">
      <c r="A41" s="2" t="s">
        <v>125</v>
      </c>
      <c r="B41" s="2">
        <v>40</v>
      </c>
      <c r="C41" s="2">
        <v>50</v>
      </c>
      <c r="D41" s="9">
        <f>IFERROR(Tabellafrutta[[#This Row],[COSTO]]/Tabellafrutta[[#This Row],[PESO]],"0")</f>
        <v>1.25</v>
      </c>
      <c r="O41" s="3"/>
    </row>
    <row r="42" spans="1:15" ht="12.75" x14ac:dyDescent="0.2">
      <c r="A42" s="2" t="s">
        <v>127</v>
      </c>
      <c r="B42" s="2">
        <v>20</v>
      </c>
      <c r="C42" s="2">
        <v>95</v>
      </c>
      <c r="D42" s="9">
        <f>IFERROR(Tabellafrutta[[#This Row],[COSTO]]/Tabellafrutta[[#This Row],[PESO]],"0")</f>
        <v>4.75</v>
      </c>
      <c r="O42" s="3"/>
    </row>
    <row r="43" spans="1:15" ht="12.75" x14ac:dyDescent="0.2">
      <c r="A43" s="2" t="s">
        <v>126</v>
      </c>
      <c r="B43" s="2">
        <v>90</v>
      </c>
      <c r="C43" s="2">
        <v>75</v>
      </c>
      <c r="D43" s="9">
        <f>IFERROR(Tabellafrutta[[#This Row],[COSTO]]/Tabellafrutta[[#This Row],[PESO]],"0")</f>
        <v>0.83333333333333337</v>
      </c>
      <c r="O43" s="3"/>
    </row>
    <row r="44" spans="1:15" ht="12.75" x14ac:dyDescent="0.2">
      <c r="A44" s="2" t="s">
        <v>128</v>
      </c>
      <c r="B44" s="2">
        <v>50</v>
      </c>
      <c r="C44" s="2">
        <v>45</v>
      </c>
      <c r="D44" s="9">
        <f>IFERROR(Tabellafrutta[[#This Row],[COSTO]]/Tabellafrutta[[#This Row],[PESO]],"0")</f>
        <v>0.9</v>
      </c>
      <c r="O44" s="3"/>
    </row>
    <row r="45" spans="1:15" ht="12.75" x14ac:dyDescent="0.2">
      <c r="A45" s="2" t="s">
        <v>125</v>
      </c>
      <c r="B45" s="2">
        <v>60</v>
      </c>
      <c r="C45" s="2">
        <v>65</v>
      </c>
      <c r="D45" s="9">
        <f>IFERROR(Tabellafrutta[[#This Row],[COSTO]]/Tabellafrutta[[#This Row],[PESO]],"0")</f>
        <v>1.0833333333333333</v>
      </c>
      <c r="O45" s="3"/>
    </row>
    <row r="46" spans="1:15" ht="12.75" x14ac:dyDescent="0.2">
      <c r="A46" s="2" t="s">
        <v>126</v>
      </c>
      <c r="B46" s="2">
        <v>45</v>
      </c>
      <c r="D46" s="9">
        <f>IFERROR(Tabellafrutta[[#This Row],[COSTO]]/Tabellafrutta[[#This Row],[PESO]],"0")</f>
        <v>0</v>
      </c>
      <c r="O46" s="3"/>
    </row>
    <row r="47" spans="1:15" ht="12.75" x14ac:dyDescent="0.2">
      <c r="A47" s="2" t="s">
        <v>127</v>
      </c>
      <c r="B47" s="2">
        <v>25</v>
      </c>
      <c r="D47" s="9">
        <f>IFERROR(Tabellafrutta[[#This Row],[COSTO]]/Tabellafrutta[[#This Row],[PESO]],"0")</f>
        <v>0</v>
      </c>
      <c r="O47" s="3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Parcheggio</vt:lpstr>
      <vt:lpstr>Frutta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Fasone Francesca Maria</dc:creator>
  <cp:lastModifiedBy>Francesca Maria Fasone</cp:lastModifiedBy>
  <dcterms:created xsi:type="dcterms:W3CDTF">2026-07-16T14:07:14Z</dcterms:created>
  <dcterms:modified xsi:type="dcterms:W3CDTF">2026-07-16T16:36:49Z</dcterms:modified>
</cp:coreProperties>
</file>