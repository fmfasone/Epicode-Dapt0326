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rancesca Fasone\Desktop\EPICODE\PROVE PRATICHE W1\"/>
    </mc:Choice>
  </mc:AlternateContent>
  <xr:revisionPtr revIDLastSave="0" documentId="13_ncr:1_{B63402F3-7196-40A3-99C5-80396D63DB02}" xr6:coauthVersionLast="47" xr6:coauthVersionMax="47" xr10:uidLastSave="{00000000-0000-0000-0000-000000000000}"/>
  <bookViews>
    <workbookView xWindow="-105" yWindow="0" windowWidth="23010" windowHeight="15585" activeTab="1" xr2:uid="{00000000-000D-0000-FFFF-FFFF00000000}"/>
  </bookViews>
  <sheets>
    <sheet name="esercizi" sheetId="1" r:id="rId1"/>
    <sheet name="esercizi avanzati" sheetId="3" r:id="rId2"/>
  </sheets>
  <definedNames>
    <definedName name="_xlnm._FilterDatabase" localSheetId="0" hidden="1">esercizi!$A$1:$A$13</definedName>
    <definedName name="VOTI">esercizi!$A$2:$A$13</definedName>
    <definedName name="voti1">'esercizi avanzati'!$A$2:$A$14</definedName>
    <definedName name="votinuovi">'esercizi avanzati'!$A$21:$A$31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" l="1"/>
  <c r="G10" i="3"/>
  <c r="G9" i="3"/>
  <c r="D19" i="1"/>
  <c r="D17" i="1"/>
  <c r="D15" i="1"/>
  <c r="D13" i="1"/>
  <c r="D8" i="1" a="1"/>
  <c r="D6" i="1"/>
  <c r="D4" i="1"/>
  <c r="D21" i="1" l="1"/>
  <c r="D42" i="1" l="1"/>
  <c r="D4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<sst xmlns="http://schemas.openxmlformats.org/spreadsheetml/2006/main" count="34" uniqueCount="33">
  <si>
    <t>VOTI</t>
  </si>
  <si>
    <t>=MEDIA(VOTI)</t>
  </si>
  <si>
    <t>=MEDIANA(VOTI)</t>
  </si>
  <si>
    <t>=MODA.MULT(VOTI)</t>
  </si>
  <si>
    <t>ESERCIZIO 1 
CALCOLA MEDIA, MEDIANA E MODA</t>
  </si>
  <si>
    <t>ESERCIZIO 2 
CALCOLA VARIANZA, DEVIAZIONE STANDARD E IQR</t>
  </si>
  <si>
    <t>=VAR.P(VOTI)</t>
  </si>
  <si>
    <t>=DEV.ST.P(VOTI)</t>
  </si>
  <si>
    <t>risultato primo quartile</t>
  </si>
  <si>
    <t>risultato terzo quartile</t>
  </si>
  <si>
    <t>risultato della differenza tra il terzo quartile e il primo quartile</t>
  </si>
  <si>
    <t>=INC.QUARTILE=(VOTI;1)</t>
  </si>
  <si>
    <t>=INC.QUARTILE=(VOTI;3)</t>
  </si>
  <si>
    <t>=D19-D17</t>
  </si>
  <si>
    <t>ESERCIZIO 3 COSTRUISCI UNA TABELLA DI FREQUENZA E INDICA LA CLASSE MODALE</t>
  </si>
  <si>
    <t>CLASSE</t>
  </si>
  <si>
    <t>18-21</t>
  </si>
  <si>
    <t>22-25</t>
  </si>
  <si>
    <t>26-30</t>
  </si>
  <si>
    <t>Q.TA</t>
  </si>
  <si>
    <t>LA CLASSE MODALE OVVERO, LA CLASSE CHE CONTINE PIU' VALORI AFFERENTI E' LA CLASSE DI VOTI 26-30</t>
  </si>
  <si>
    <t>ESERCIZIO 4 APPLICA LA REGOLA DELL'IQR E INDICA SE CI SONO OUTLIER</t>
  </si>
  <si>
    <t>calcolo limite inferiore</t>
  </si>
  <si>
    <t>calcolo limite superiore</t>
  </si>
  <si>
    <t>quindi tutti i voti inferiori a 18,625 e maggiori di 36,625 sono considerabili outlier</t>
  </si>
  <si>
    <t>il voto 18 è un outlier</t>
  </si>
  <si>
    <t>cambia inanzitutto la media poiché è sensibile ai valori estremi ovvero, molto piccoli o molto grandi</t>
  </si>
  <si>
    <t>media</t>
  </si>
  <si>
    <t>mediana</t>
  </si>
  <si>
    <t>in questo caso la mediana è minore della media e quindi abbiamo una distribuzione right skewed</t>
  </si>
  <si>
    <t>la deviazione standard è inferiore alla precedente perché togliendo il valore putlier la distribuzione risulta avere valori più coesi tra loro</t>
  </si>
  <si>
    <t>esercizio 5</t>
  </si>
  <si>
    <t>esercizio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</si>
</sst>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quotePrefix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TABELLA DI FREQUENZA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esercizi!$E$24</c:f>
              <c:strCache>
                <c:ptCount val="1"/>
                <c:pt idx="0">
                  <c:v>Q.TA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esercizi!$D$25:$D$27</c:f>
              <c:strCache>
                <c:ptCount val="3"/>
                <c:pt idx="0">
                  <c:v>18-21</c:v>
                </c:pt>
                <c:pt idx="1">
                  <c:v>22-25</c:v>
                </c:pt>
                <c:pt idx="2">
                  <c:v>26-30</c:v>
                </c:pt>
              </c:strCache>
            </c:strRef>
          </c:cat>
          <c:val>
            <c:numRef>
              <c:f>esercizi!$E$25:$E$27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6-4016-904D-5D5C38DEA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325903"/>
        <c:axId val="1246436527"/>
      </c:barChart>
      <c:catAx>
        <c:axId val="110832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46436527"/>
        <c:crosses val="autoZero"/>
        <c:auto val="1"/>
        <c:lblAlgn val="ctr"/>
        <c:lblOffset val="100"/>
        <c:noMultiLvlLbl val="0"/>
      </c:catAx>
      <c:valAx>
        <c:axId val="12464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0832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23</xdr:row>
      <xdr:rowOff>14287</xdr:rowOff>
    </xdr:from>
    <xdr:to>
      <xdr:col>2</xdr:col>
      <xdr:colOff>3781425</xdr:colOff>
      <xdr:row>37</xdr:row>
      <xdr:rowOff>90487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2C9E295-B1C8-1EB9-181A-E7FA3291B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workbookViewId="0">
      <selection activeCell="A3" sqref="A3:A13"/>
    </sheetView>
  </sheetViews>
  <sheetFormatPr defaultRowHeight="15" x14ac:dyDescent="0.25"/>
  <cols>
    <col min="1" max="1" width="5.28515625" bestFit="1" customWidth="1"/>
    <col min="2" max="2" width="9" bestFit="1" customWidth="1"/>
    <col min="3" max="3" width="59.28515625" bestFit="1" customWidth="1"/>
  </cols>
  <sheetData>
    <row r="1" spans="1:4" x14ac:dyDescent="0.25">
      <c r="A1" t="s">
        <v>0</v>
      </c>
    </row>
    <row r="2" spans="1:4" x14ac:dyDescent="0.25">
      <c r="A2" s="1">
        <v>18</v>
      </c>
      <c r="C2" s="3" t="s">
        <v>4</v>
      </c>
    </row>
    <row r="3" spans="1:4" x14ac:dyDescent="0.25">
      <c r="A3" s="1">
        <v>22</v>
      </c>
      <c r="D3" s="4" t="s">
        <v>1</v>
      </c>
    </row>
    <row r="4" spans="1:4" x14ac:dyDescent="0.25">
      <c r="A4" s="1">
        <v>25</v>
      </c>
      <c r="D4" s="5">
        <f>AVERAGE(VOTI)</f>
        <v>26.666666666666668</v>
      </c>
    </row>
    <row r="5" spans="1:4" x14ac:dyDescent="0.25">
      <c r="A5" s="1">
        <v>25</v>
      </c>
      <c r="D5" s="4" t="s">
        <v>2</v>
      </c>
    </row>
    <row r="6" spans="1:4" x14ac:dyDescent="0.25">
      <c r="A6" s="1">
        <v>27</v>
      </c>
      <c r="D6" s="5">
        <f>MEDIAN(VOTI)</f>
        <v>28</v>
      </c>
    </row>
    <row r="7" spans="1:4" x14ac:dyDescent="0.25">
      <c r="A7" s="1">
        <v>28</v>
      </c>
      <c r="D7" s="4" t="s">
        <v>3</v>
      </c>
    </row>
    <row r="8" spans="1:4" x14ac:dyDescent="0.25">
      <c r="A8" s="1">
        <v>28</v>
      </c>
      <c r="D8" s="5" cm="1">
        <f t="array" ref="D8:D9">_xlfn.MODE.MULT(VOTI)</f>
        <v>28</v>
      </c>
    </row>
    <row r="9" spans="1:4" x14ac:dyDescent="0.25">
      <c r="A9" s="1">
        <v>28</v>
      </c>
      <c r="D9" s="5">
        <v>30</v>
      </c>
    </row>
    <row r="10" spans="1:4" x14ac:dyDescent="0.25">
      <c r="A10" s="1">
        <v>29</v>
      </c>
    </row>
    <row r="11" spans="1:4" x14ac:dyDescent="0.25">
      <c r="A11" s="1">
        <v>30</v>
      </c>
      <c r="C11" s="3" t="s">
        <v>5</v>
      </c>
    </row>
    <row r="12" spans="1:4" x14ac:dyDescent="0.25">
      <c r="A12" s="1">
        <v>30</v>
      </c>
      <c r="D12" s="4" t="s">
        <v>6</v>
      </c>
    </row>
    <row r="13" spans="1:4" x14ac:dyDescent="0.25">
      <c r="A13" s="1">
        <v>30</v>
      </c>
      <c r="D13">
        <f>_xlfn.VAR.P(VOTI)</f>
        <v>12.222222222222221</v>
      </c>
    </row>
    <row r="14" spans="1:4" x14ac:dyDescent="0.25">
      <c r="D14" s="4" t="s">
        <v>7</v>
      </c>
    </row>
    <row r="15" spans="1:4" x14ac:dyDescent="0.25">
      <c r="D15">
        <f>_xlfn.STDEV.P(VOTI)</f>
        <v>3.496029493900505</v>
      </c>
    </row>
    <row r="16" spans="1:4" x14ac:dyDescent="0.25">
      <c r="D16" s="4" t="s">
        <v>11</v>
      </c>
    </row>
    <row r="17" spans="3:5" x14ac:dyDescent="0.25">
      <c r="D17">
        <f>_xlfn.QUARTILE.INC(VOTI,1)</f>
        <v>25</v>
      </c>
      <c r="E17" t="s">
        <v>8</v>
      </c>
    </row>
    <row r="18" spans="3:5" x14ac:dyDescent="0.25">
      <c r="D18" s="4" t="s">
        <v>12</v>
      </c>
    </row>
    <row r="19" spans="3:5" x14ac:dyDescent="0.25">
      <c r="D19">
        <f>_xlfn.QUARTILE.INC(VOTI,3)</f>
        <v>29.25</v>
      </c>
      <c r="E19" t="s">
        <v>9</v>
      </c>
    </row>
    <row r="20" spans="3:5" x14ac:dyDescent="0.25">
      <c r="D20" s="4" t="s">
        <v>13</v>
      </c>
    </row>
    <row r="21" spans="3:5" x14ac:dyDescent="0.25">
      <c r="D21" s="5">
        <f>D19-D17</f>
        <v>4.25</v>
      </c>
      <c r="E21" t="s">
        <v>10</v>
      </c>
    </row>
    <row r="23" spans="3:5" ht="30" x14ac:dyDescent="0.25">
      <c r="C23" s="2" t="s">
        <v>14</v>
      </c>
    </row>
    <row r="24" spans="3:5" x14ac:dyDescent="0.25">
      <c r="D24" t="s">
        <v>15</v>
      </c>
      <c r="E24" t="s">
        <v>19</v>
      </c>
    </row>
    <row r="25" spans="3:5" x14ac:dyDescent="0.25">
      <c r="D25" t="s">
        <v>16</v>
      </c>
      <c r="E25">
        <v>1</v>
      </c>
    </row>
    <row r="26" spans="3:5" x14ac:dyDescent="0.25">
      <c r="D26" t="s">
        <v>17</v>
      </c>
      <c r="E26">
        <v>3</v>
      </c>
    </row>
    <row r="27" spans="3:5" x14ac:dyDescent="0.25">
      <c r="D27" t="s">
        <v>18</v>
      </c>
      <c r="E27">
        <v>8</v>
      </c>
    </row>
    <row r="29" spans="3:5" x14ac:dyDescent="0.25">
      <c r="D29" s="5" t="s">
        <v>20</v>
      </c>
    </row>
    <row r="40" spans="3:7" ht="30" x14ac:dyDescent="0.25">
      <c r="C40" s="2" t="s">
        <v>21</v>
      </c>
    </row>
    <row r="41" spans="3:7" x14ac:dyDescent="0.25">
      <c r="D41" t="s">
        <v>22</v>
      </c>
    </row>
    <row r="42" spans="3:7" x14ac:dyDescent="0.25">
      <c r="D42">
        <f>D17-1.5*D21</f>
        <v>18.625</v>
      </c>
    </row>
    <row r="43" spans="3:7" x14ac:dyDescent="0.25">
      <c r="G43" t="s">
        <v>24</v>
      </c>
    </row>
    <row r="44" spans="3:7" x14ac:dyDescent="0.25">
      <c r="D44" t="s">
        <v>23</v>
      </c>
      <c r="G44" s="5" t="s">
        <v>25</v>
      </c>
    </row>
    <row r="45" spans="3:7" x14ac:dyDescent="0.25">
      <c r="D45">
        <f>D19+1.5*D21</f>
        <v>35.625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3C877-5714-43CD-B024-2BC05878FCDB}">
  <dimension ref="A1:I31"/>
  <sheetViews>
    <sheetView tabSelected="1" workbookViewId="0">
      <selection activeCell="C20" sqref="C20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>
        <v>18</v>
      </c>
    </row>
    <row r="3" spans="1:9" x14ac:dyDescent="0.25">
      <c r="A3">
        <v>22</v>
      </c>
    </row>
    <row r="4" spans="1:9" x14ac:dyDescent="0.25">
      <c r="A4">
        <v>25</v>
      </c>
      <c r="C4" t="s">
        <v>31</v>
      </c>
    </row>
    <row r="5" spans="1:9" x14ac:dyDescent="0.25">
      <c r="A5">
        <v>25</v>
      </c>
    </row>
    <row r="6" spans="1:9" x14ac:dyDescent="0.25">
      <c r="A6">
        <v>27</v>
      </c>
    </row>
    <row r="7" spans="1:9" x14ac:dyDescent="0.25">
      <c r="A7">
        <v>28</v>
      </c>
      <c r="H7" t="s">
        <v>26</v>
      </c>
    </row>
    <row r="8" spans="1:9" x14ac:dyDescent="0.25">
      <c r="A8">
        <v>28</v>
      </c>
      <c r="I8" t="s">
        <v>29</v>
      </c>
    </row>
    <row r="9" spans="1:9" x14ac:dyDescent="0.25">
      <c r="A9">
        <v>28</v>
      </c>
      <c r="F9" t="s">
        <v>27</v>
      </c>
      <c r="G9">
        <f>AVERAGE(voti1)</f>
        <v>31.923076923076923</v>
      </c>
    </row>
    <row r="10" spans="1:9" x14ac:dyDescent="0.25">
      <c r="A10">
        <v>29</v>
      </c>
      <c r="F10" t="s">
        <v>28</v>
      </c>
      <c r="G10">
        <f>MEDIAN(voti1)</f>
        <v>28</v>
      </c>
    </row>
    <row r="11" spans="1:9" x14ac:dyDescent="0.25">
      <c r="A11">
        <v>30</v>
      </c>
    </row>
    <row r="12" spans="1:9" x14ac:dyDescent="0.25">
      <c r="A12">
        <v>30</v>
      </c>
    </row>
    <row r="13" spans="1:9" x14ac:dyDescent="0.25">
      <c r="A13">
        <v>30</v>
      </c>
    </row>
    <row r="14" spans="1:9" x14ac:dyDescent="0.25">
      <c r="A14">
        <v>95</v>
      </c>
    </row>
    <row r="19" spans="1:5" x14ac:dyDescent="0.25">
      <c r="C19" t="s">
        <v>32</v>
      </c>
    </row>
    <row r="21" spans="1:5" x14ac:dyDescent="0.25">
      <c r="A21" s="1">
        <v>22</v>
      </c>
      <c r="C21">
        <f>_xlfn.STDEV.P(votinuovi)</f>
        <v>2.4257571025684239</v>
      </c>
      <c r="E21" t="s">
        <v>30</v>
      </c>
    </row>
    <row r="22" spans="1:5" x14ac:dyDescent="0.25">
      <c r="A22" s="1">
        <v>25</v>
      </c>
    </row>
    <row r="23" spans="1:5" x14ac:dyDescent="0.25">
      <c r="A23" s="1">
        <v>25</v>
      </c>
    </row>
    <row r="24" spans="1:5" x14ac:dyDescent="0.25">
      <c r="A24" s="1">
        <v>27</v>
      </c>
    </row>
    <row r="25" spans="1:5" x14ac:dyDescent="0.25">
      <c r="A25" s="1">
        <v>28</v>
      </c>
    </row>
    <row r="26" spans="1:5" x14ac:dyDescent="0.25">
      <c r="A26" s="1">
        <v>28</v>
      </c>
    </row>
    <row r="27" spans="1:5" x14ac:dyDescent="0.25">
      <c r="A27" s="1">
        <v>28</v>
      </c>
    </row>
    <row r="28" spans="1:5" x14ac:dyDescent="0.25">
      <c r="A28" s="1">
        <v>29</v>
      </c>
    </row>
    <row r="29" spans="1:5" x14ac:dyDescent="0.25">
      <c r="A29" s="1">
        <v>30</v>
      </c>
    </row>
    <row r="30" spans="1:5" x14ac:dyDescent="0.25">
      <c r="A30" s="1">
        <v>30</v>
      </c>
    </row>
    <row r="31" spans="1:5" x14ac:dyDescent="0.25">
      <c r="A31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3</vt:i4>
      </vt:variant>
    </vt:vector>
  </HeadingPairs>
  <TitlesOfParts>
    <vt:vector size="5" baseType="lpstr">
      <vt:lpstr>esercizi</vt:lpstr>
      <vt:lpstr>esercizi avanzati</vt:lpstr>
      <vt:lpstr>VOTI</vt:lpstr>
      <vt:lpstr>voti1</vt:lpstr>
      <vt:lpstr>votinuovi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Fasone</dc:creator>
  <cp:lastModifiedBy>Francesca Maria Fasone</cp:lastModifiedBy>
  <dcterms:created xsi:type="dcterms:W3CDTF">2015-06-05T18:19:34Z</dcterms:created>
  <dcterms:modified xsi:type="dcterms:W3CDTF">2026-06-30T16:51:18Z</dcterms:modified>
</cp:coreProperties>
</file>