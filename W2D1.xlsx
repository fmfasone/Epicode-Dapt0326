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asone-976285\Downloads\"/>
    </mc:Choice>
  </mc:AlternateContent>
  <xr:revisionPtr revIDLastSave="0" documentId="8_{7DB1AFB2-BB6E-44AF-8E66-8460434A6C0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W2D1" sheetId="3" r:id="rId1"/>
  </sheets>
  <definedNames>
    <definedName name="GIORN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3" l="1"/>
  <c r="B54" i="3"/>
  <c r="B41" i="3"/>
  <c r="B40" i="3"/>
  <c r="B38" i="3"/>
  <c r="B37" i="3"/>
  <c r="B33" i="3"/>
  <c r="B32" i="3"/>
  <c r="B30" i="3"/>
  <c r="B29" i="3"/>
  <c r="B17" i="3"/>
  <c r="B16" i="3"/>
  <c r="B14" i="3"/>
  <c r="B13" i="3"/>
</calcChain>
</file>

<file path=xl/sharedStrings.xml><?xml version="1.0" encoding="utf-8"?>
<sst xmlns="http://schemas.openxmlformats.org/spreadsheetml/2006/main" count="53" uniqueCount="34">
  <si>
    <t>ESERCIZIO 1</t>
  </si>
  <si>
    <t>DATI</t>
  </si>
  <si>
    <t>Media</t>
  </si>
  <si>
    <t>Dev.Stan</t>
  </si>
  <si>
    <t>D_campione</t>
  </si>
  <si>
    <t>Confidenza richiesta</t>
  </si>
  <si>
    <t>la stima puntuale è la media del campione, quindi uguale a 52</t>
  </si>
  <si>
    <t>per poter calcolare il margine di errore, la cui formula in excel è confidenza.norm(alpha; dev.stand.; dim.campione)</t>
  </si>
  <si>
    <t xml:space="preserve">è necessario calcolare alpha </t>
  </si>
  <si>
    <t>alpha= 1 - confidenza=</t>
  </si>
  <si>
    <t>quindi M_errore=</t>
  </si>
  <si>
    <t>lim.inf.=</t>
  </si>
  <si>
    <t>lim.sup.=</t>
  </si>
  <si>
    <t>il che significa che mu è un valore che sta tra 50,04 e 53,96</t>
  </si>
  <si>
    <t>calcoliamo adesso il limite inferiore e superiore per identificare gli estremi dell'intervallo di confidenza</t>
  </si>
  <si>
    <t>ESERCIZIO 2/ESERCIZIO 3</t>
  </si>
  <si>
    <r>
      <t xml:space="preserve">precisamente, sulla base del campione osservato, l'intervallo di confidenza al 95% indica che </t>
    </r>
    <r>
      <rPr>
        <i/>
        <sz val="11"/>
        <color theme="1"/>
        <rFont val="Calibri"/>
        <family val="2"/>
        <scheme val="minor"/>
      </rPr>
      <t>mu</t>
    </r>
    <r>
      <rPr>
        <sz val="11"/>
        <color theme="1"/>
        <rFont val="Calibri"/>
        <family val="2"/>
        <scheme val="minor"/>
      </rPr>
      <t xml:space="preserve"> è compreso tra 50,04 e 53,96</t>
    </r>
  </si>
  <si>
    <t>ESERCIZIO 4</t>
  </si>
  <si>
    <t>facciamo lo stesso calcolo effettuato in esercizio 2 ma ponendo al 90% il livello di confidenza</t>
  </si>
  <si>
    <t>quindi il M_errore sarà</t>
  </si>
  <si>
    <t>con cui calcoliamo gli estremi dell'intervallo di confidenza, ovvero:</t>
  </si>
  <si>
    <t>lim.inf=</t>
  </si>
  <si>
    <r>
      <t xml:space="preserve">quindi con livello di confidenza al 90%, </t>
    </r>
    <r>
      <rPr>
        <i/>
        <sz val="11"/>
        <color theme="1"/>
        <rFont val="Calibri"/>
        <family val="2"/>
        <scheme val="minor"/>
      </rPr>
      <t>mu</t>
    </r>
    <r>
      <rPr>
        <sz val="11"/>
        <color theme="1"/>
        <rFont val="Calibri"/>
        <family val="2"/>
        <scheme val="minor"/>
      </rPr>
      <t xml:space="preserve"> sarà tra 50,36 e 53,64 </t>
    </r>
  </si>
  <si>
    <t>stessi calcoli per il limello di confidenza al 99%</t>
  </si>
  <si>
    <t>quindi alpha sarà</t>
  </si>
  <si>
    <t>calcoliamo alpha=</t>
  </si>
  <si>
    <t>M_errore=</t>
  </si>
  <si>
    <t>lim.sup=</t>
  </si>
  <si>
    <t>analizzando questi tre casi in cui i livelli di confidenza sono rispettivamente 90%, 95% e 99%, è possibile notare che la distanza tra gli estremi facenti parte l'intervallo di confidenza aumenta progressivamente</t>
  </si>
  <si>
    <t>poiché aumentando il livello di confidenza, l'intervallo diviene più ampio quindi più prudente ma meno preciso</t>
  </si>
  <si>
    <t>ESERCIZIO 5</t>
  </si>
  <si>
    <t>per calcolare il marfìgine di errore, calcolo alpha</t>
  </si>
  <si>
    <t>alpha=</t>
  </si>
  <si>
    <t>il margine di errore si dimezza perché aumentando il campione, la stima della media diventa più precisa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</si>
</sst>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Font="1"/>
    <xf numFmtId="0" fontId="1" fillId="0" borderId="0" xfId="0" applyFon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6361-950B-4A53-B542-3DA79E730D48}">
  <dimension ref="A1:H57"/>
  <sheetViews>
    <sheetView tabSelected="1" topLeftCell="A34" workbookViewId="0">
      <selection activeCell="H49" sqref="H49"/>
    </sheetView>
  </sheetViews>
  <sheetFormatPr defaultRowHeight="15" x14ac:dyDescent="0.25"/>
  <cols>
    <col min="1" max="1" width="20.85546875" customWidth="1"/>
    <col min="4" max="4" width="19.28515625" bestFit="1" customWidth="1"/>
  </cols>
  <sheetData>
    <row r="1" spans="1:2" x14ac:dyDescent="0.25">
      <c r="A1" s="3" t="s">
        <v>1</v>
      </c>
    </row>
    <row r="2" spans="1:2" x14ac:dyDescent="0.25">
      <c r="A2" t="s">
        <v>2</v>
      </c>
      <c r="B2">
        <v>52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81</v>
      </c>
    </row>
    <row r="5" spans="1:2" x14ac:dyDescent="0.25">
      <c r="A5" t="s">
        <v>5</v>
      </c>
      <c r="B5" s="1">
        <v>0.95</v>
      </c>
    </row>
    <row r="7" spans="1:2" x14ac:dyDescent="0.25">
      <c r="A7" s="3" t="s">
        <v>0</v>
      </c>
    </row>
    <row r="8" spans="1:2" x14ac:dyDescent="0.25">
      <c r="A8" t="s">
        <v>6</v>
      </c>
    </row>
    <row r="10" spans="1:2" x14ac:dyDescent="0.25">
      <c r="A10" s="3" t="s">
        <v>15</v>
      </c>
    </row>
    <row r="11" spans="1:2" x14ac:dyDescent="0.25">
      <c r="A11" t="s">
        <v>7</v>
      </c>
    </row>
    <row r="12" spans="1:2" x14ac:dyDescent="0.25">
      <c r="A12" t="s">
        <v>8</v>
      </c>
    </row>
    <row r="13" spans="1:2" x14ac:dyDescent="0.25">
      <c r="A13" t="s">
        <v>9</v>
      </c>
      <c r="B13" s="2">
        <f>1-0.95</f>
        <v>5.0000000000000044E-2</v>
      </c>
    </row>
    <row r="14" spans="1:2" x14ac:dyDescent="0.25">
      <c r="A14" t="s">
        <v>10</v>
      </c>
      <c r="B14" s="4">
        <f>_xlfn.CONFIDENCE.NORM(B13,B3,B4)</f>
        <v>1.9599639845400536</v>
      </c>
    </row>
    <row r="15" spans="1:2" x14ac:dyDescent="0.25">
      <c r="A15" t="s">
        <v>14</v>
      </c>
    </row>
    <row r="16" spans="1:2" x14ac:dyDescent="0.25">
      <c r="A16" t="s">
        <v>11</v>
      </c>
      <c r="B16" s="4">
        <f>B2-B14</f>
        <v>50.040036015459947</v>
      </c>
    </row>
    <row r="17" spans="1:8" x14ac:dyDescent="0.25">
      <c r="A17" t="s">
        <v>12</v>
      </c>
      <c r="B17" s="4">
        <f>B2+B14</f>
        <v>53.959963984540053</v>
      </c>
    </row>
    <row r="18" spans="1:8" x14ac:dyDescent="0.25">
      <c r="A18" t="s">
        <v>13</v>
      </c>
    </row>
    <row r="19" spans="1:8" x14ac:dyDescent="0.25">
      <c r="A19" t="s">
        <v>16</v>
      </c>
    </row>
    <row r="21" spans="1:8" x14ac:dyDescent="0.25">
      <c r="A21" s="3" t="s">
        <v>17</v>
      </c>
    </row>
    <row r="22" spans="1:8" x14ac:dyDescent="0.25">
      <c r="A22" s="3" t="s">
        <v>1</v>
      </c>
      <c r="D22" s="3" t="s">
        <v>1</v>
      </c>
      <c r="G22" s="3"/>
    </row>
    <row r="23" spans="1:8" x14ac:dyDescent="0.25">
      <c r="A23" t="s">
        <v>2</v>
      </c>
      <c r="B23">
        <v>52</v>
      </c>
      <c r="D23" t="s">
        <v>2</v>
      </c>
      <c r="E23">
        <v>52</v>
      </c>
    </row>
    <row r="24" spans="1:8" x14ac:dyDescent="0.25">
      <c r="A24" t="s">
        <v>3</v>
      </c>
      <c r="B24">
        <v>9</v>
      </c>
      <c r="D24" t="s">
        <v>3</v>
      </c>
      <c r="E24">
        <v>9</v>
      </c>
    </row>
    <row r="25" spans="1:8" x14ac:dyDescent="0.25">
      <c r="A25" t="s">
        <v>4</v>
      </c>
      <c r="B25">
        <v>81</v>
      </c>
      <c r="D25" t="s">
        <v>4</v>
      </c>
      <c r="E25">
        <v>81</v>
      </c>
    </row>
    <row r="26" spans="1:8" x14ac:dyDescent="0.25">
      <c r="A26" t="s">
        <v>5</v>
      </c>
      <c r="B26" s="1">
        <v>0.9</v>
      </c>
      <c r="D26" t="s">
        <v>5</v>
      </c>
      <c r="E26" s="1">
        <v>0.99</v>
      </c>
      <c r="H26" s="1"/>
    </row>
    <row r="28" spans="1:8" x14ac:dyDescent="0.25">
      <c r="A28" t="s">
        <v>18</v>
      </c>
    </row>
    <row r="29" spans="1:8" x14ac:dyDescent="0.25">
      <c r="A29" t="s">
        <v>24</v>
      </c>
      <c r="B29" s="4">
        <f>1-0.9</f>
        <v>9.9999999999999978E-2</v>
      </c>
    </row>
    <row r="30" spans="1:8" x14ac:dyDescent="0.25">
      <c r="A30" t="s">
        <v>19</v>
      </c>
      <c r="B30" s="4">
        <f>_xlfn.CONFIDENCE.NORM(B29,B24,B25)</f>
        <v>1.6448536269514715</v>
      </c>
    </row>
    <row r="31" spans="1:8" x14ac:dyDescent="0.25">
      <c r="A31" t="s">
        <v>20</v>
      </c>
    </row>
    <row r="32" spans="1:8" x14ac:dyDescent="0.25">
      <c r="A32" t="s">
        <v>21</v>
      </c>
      <c r="B32" s="4">
        <f>B23-B30</f>
        <v>50.355146373048527</v>
      </c>
    </row>
    <row r="33" spans="1:2" x14ac:dyDescent="0.25">
      <c r="A33" t="s">
        <v>12</v>
      </c>
      <c r="B33" s="4">
        <f>B23+B30</f>
        <v>53.644853626951473</v>
      </c>
    </row>
    <row r="34" spans="1:2" x14ac:dyDescent="0.25">
      <c r="A34" t="s">
        <v>22</v>
      </c>
    </row>
    <row r="36" spans="1:2" x14ac:dyDescent="0.25">
      <c r="A36" t="s">
        <v>23</v>
      </c>
    </row>
    <row r="37" spans="1:2" x14ac:dyDescent="0.25">
      <c r="A37" t="s">
        <v>25</v>
      </c>
      <c r="B37">
        <f>1-0.99</f>
        <v>1.0000000000000009E-2</v>
      </c>
    </row>
    <row r="38" spans="1:2" x14ac:dyDescent="0.25">
      <c r="A38" t="s">
        <v>26</v>
      </c>
      <c r="B38" s="4">
        <f>_xlfn.CONFIDENCE.NORM(B37,E24,E23)</f>
        <v>3.2148292952728581</v>
      </c>
    </row>
    <row r="39" spans="1:2" x14ac:dyDescent="0.25">
      <c r="A39" t="s">
        <v>20</v>
      </c>
    </row>
    <row r="40" spans="1:2" x14ac:dyDescent="0.25">
      <c r="A40" t="s">
        <v>21</v>
      </c>
      <c r="B40" s="4">
        <f>B23-B38</f>
        <v>48.785170704727143</v>
      </c>
    </row>
    <row r="41" spans="1:2" x14ac:dyDescent="0.25">
      <c r="A41" t="s">
        <v>27</v>
      </c>
      <c r="B41" s="4">
        <f>B23+B38</f>
        <v>55.214829295272857</v>
      </c>
    </row>
    <row r="43" spans="1:2" x14ac:dyDescent="0.25">
      <c r="A43" t="s">
        <v>28</v>
      </c>
    </row>
    <row r="44" spans="1:2" x14ac:dyDescent="0.25">
      <c r="A44" t="s">
        <v>29</v>
      </c>
    </row>
    <row r="46" spans="1:2" x14ac:dyDescent="0.25">
      <c r="A46" s="3" t="s">
        <v>30</v>
      </c>
    </row>
    <row r="47" spans="1:2" x14ac:dyDescent="0.25">
      <c r="A47" s="3" t="s">
        <v>1</v>
      </c>
    </row>
    <row r="48" spans="1:2" x14ac:dyDescent="0.25">
      <c r="A48" t="s">
        <v>2</v>
      </c>
      <c r="B48">
        <v>52</v>
      </c>
    </row>
    <row r="49" spans="1:2" x14ac:dyDescent="0.25">
      <c r="A49" t="s">
        <v>3</v>
      </c>
      <c r="B49">
        <v>9</v>
      </c>
    </row>
    <row r="50" spans="1:2" x14ac:dyDescent="0.25">
      <c r="A50" t="s">
        <v>4</v>
      </c>
      <c r="B50">
        <v>324</v>
      </c>
    </row>
    <row r="51" spans="1:2" x14ac:dyDescent="0.25">
      <c r="A51" t="s">
        <v>5</v>
      </c>
      <c r="B51" s="1">
        <v>0.95</v>
      </c>
    </row>
    <row r="53" spans="1:2" x14ac:dyDescent="0.25">
      <c r="A53" t="s">
        <v>31</v>
      </c>
    </row>
    <row r="54" spans="1:2" x14ac:dyDescent="0.25">
      <c r="A54" t="s">
        <v>32</v>
      </c>
      <c r="B54">
        <f>1-0.95</f>
        <v>5.0000000000000044E-2</v>
      </c>
    </row>
    <row r="55" spans="1:2" x14ac:dyDescent="0.25">
      <c r="A55" t="s">
        <v>26</v>
      </c>
      <c r="B55" s="4">
        <f>_xlfn.CONFIDENCE.NORM(B54,B49,B50)</f>
        <v>0.9799819922700268</v>
      </c>
    </row>
    <row r="57" spans="1:2" x14ac:dyDescent="0.25">
      <c r="A57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W2D1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Fasone Francesca Maria</dc:creator>
  <cp:lastModifiedBy>Fasone Francesca Maria</cp:lastModifiedBy>
  <dcterms:created xsi:type="dcterms:W3CDTF">2015-06-05T18:19:34Z</dcterms:created>
  <dcterms:modified xsi:type="dcterms:W3CDTF">2026-07-07T13:40:06Z</dcterms:modified>
</cp:coreProperties>
</file>